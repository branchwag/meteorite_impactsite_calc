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_b\Documents\Meteors\"/>
    </mc:Choice>
  </mc:AlternateContent>
  <xr:revisionPtr revIDLastSave="0" documentId="13_ncr:1_{6F5C2555-95D7-4E88-AA62-AE4B274C3B4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13 Meteors" sheetId="4" r:id="rId1"/>
    <sheet name="Sheet1" sheetId="1" r:id="rId2"/>
    <sheet name="Spherical" sheetId="2" r:id="rId3"/>
    <sheet name="Cub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Q7" i="1"/>
  <c r="E7" i="1"/>
  <c r="A7" i="1"/>
  <c r="C33" i="3" l="1"/>
  <c r="K33" i="3" s="1"/>
  <c r="C32" i="3"/>
  <c r="I32" i="3" s="1"/>
  <c r="C31" i="3"/>
  <c r="H31" i="3" s="1"/>
  <c r="C30" i="3"/>
  <c r="C29" i="3"/>
  <c r="K29" i="3" s="1"/>
  <c r="C28" i="3"/>
  <c r="I28" i="3" s="1"/>
  <c r="C27" i="3"/>
  <c r="H27" i="3" s="1"/>
  <c r="C26" i="3"/>
  <c r="C25" i="3"/>
  <c r="K25" i="3" s="1"/>
  <c r="C24" i="3"/>
  <c r="I24" i="3" s="1"/>
  <c r="C23" i="3"/>
  <c r="H23" i="3" s="1"/>
  <c r="C22" i="3"/>
  <c r="C21" i="3"/>
  <c r="K21" i="3" s="1"/>
  <c r="C20" i="3"/>
  <c r="I20" i="3" s="1"/>
  <c r="C19" i="3"/>
  <c r="H19" i="3" s="1"/>
  <c r="C18" i="3"/>
  <c r="C17" i="3"/>
  <c r="K17" i="3" s="1"/>
  <c r="C16" i="3"/>
  <c r="I16" i="3" s="1"/>
  <c r="C15" i="3"/>
  <c r="H15" i="3" s="1"/>
  <c r="C14" i="3"/>
  <c r="C13" i="3"/>
  <c r="K13" i="3" s="1"/>
  <c r="C12" i="3"/>
  <c r="I12" i="3" s="1"/>
  <c r="C11" i="3"/>
  <c r="H11" i="3" s="1"/>
  <c r="C10" i="3"/>
  <c r="C9" i="3"/>
  <c r="K9" i="3" s="1"/>
  <c r="C8" i="3"/>
  <c r="I8" i="3" s="1"/>
  <c r="C7" i="3"/>
  <c r="H7" i="3" s="1"/>
  <c r="C6" i="3"/>
  <c r="C5" i="3"/>
  <c r="K5" i="3" s="1"/>
  <c r="C4" i="3"/>
  <c r="O4" i="3" s="1"/>
  <c r="C3" i="3"/>
  <c r="L3" i="3" s="1"/>
  <c r="C1" i="3"/>
  <c r="O4" i="2"/>
  <c r="H5" i="2"/>
  <c r="J5" i="2"/>
  <c r="K5" i="2"/>
  <c r="L5" i="2"/>
  <c r="N5" i="2"/>
  <c r="O5" i="2"/>
  <c r="H6" i="2"/>
  <c r="J6" i="2"/>
  <c r="L6" i="2"/>
  <c r="N6" i="2"/>
  <c r="O6" i="2"/>
  <c r="K7" i="2"/>
  <c r="L7" i="2"/>
  <c r="J8" i="2"/>
  <c r="O8" i="2"/>
  <c r="H10" i="2"/>
  <c r="J10" i="2"/>
  <c r="L10" i="2"/>
  <c r="N10" i="2"/>
  <c r="O10" i="2"/>
  <c r="K11" i="2"/>
  <c r="L11" i="2"/>
  <c r="J12" i="2"/>
  <c r="O12" i="2"/>
  <c r="H14" i="2"/>
  <c r="J14" i="2"/>
  <c r="L14" i="2"/>
  <c r="N14" i="2"/>
  <c r="O14" i="2"/>
  <c r="K15" i="2"/>
  <c r="L15" i="2"/>
  <c r="J16" i="2"/>
  <c r="O16" i="2"/>
  <c r="H18" i="2"/>
  <c r="J18" i="2"/>
  <c r="L18" i="2"/>
  <c r="N18" i="2"/>
  <c r="O18" i="2"/>
  <c r="K19" i="2"/>
  <c r="L19" i="2"/>
  <c r="J20" i="2"/>
  <c r="O20" i="2"/>
  <c r="H22" i="2"/>
  <c r="J22" i="2"/>
  <c r="L22" i="2"/>
  <c r="N22" i="2"/>
  <c r="O22" i="2"/>
  <c r="K23" i="2"/>
  <c r="L23" i="2"/>
  <c r="J24" i="2"/>
  <c r="O24" i="2"/>
  <c r="H26" i="2"/>
  <c r="J26" i="2"/>
  <c r="L26" i="2"/>
  <c r="N26" i="2"/>
  <c r="O26" i="2"/>
  <c r="K27" i="2"/>
  <c r="L27" i="2"/>
  <c r="J28" i="2"/>
  <c r="O28" i="2"/>
  <c r="H30" i="2"/>
  <c r="J30" i="2"/>
  <c r="L30" i="2"/>
  <c r="N30" i="2"/>
  <c r="O30" i="2"/>
  <c r="K31" i="2"/>
  <c r="L31" i="2"/>
  <c r="J32" i="2"/>
  <c r="O32" i="2"/>
  <c r="O3" i="2"/>
  <c r="M3" i="2"/>
  <c r="J3" i="2"/>
  <c r="L3" i="2"/>
  <c r="H3" i="2"/>
  <c r="D19" i="2"/>
  <c r="D23" i="2"/>
  <c r="A17" i="1"/>
  <c r="C4" i="2"/>
  <c r="C5" i="2"/>
  <c r="D5" i="2" s="1"/>
  <c r="C6" i="2"/>
  <c r="C7" i="2"/>
  <c r="C8" i="2"/>
  <c r="C9" i="2"/>
  <c r="C10" i="2"/>
  <c r="C11" i="2"/>
  <c r="C12" i="2"/>
  <c r="C13" i="2"/>
  <c r="C14" i="2"/>
  <c r="C15" i="2"/>
  <c r="C16" i="2"/>
  <c r="H16" i="2" s="1"/>
  <c r="C17" i="2"/>
  <c r="C18" i="2"/>
  <c r="C19" i="2"/>
  <c r="C20" i="2"/>
  <c r="C21" i="2"/>
  <c r="J21" i="2" s="1"/>
  <c r="C22" i="2"/>
  <c r="C23" i="2"/>
  <c r="C24" i="2"/>
  <c r="L24" i="2" s="1"/>
  <c r="C25" i="2"/>
  <c r="C26" i="2"/>
  <c r="C27" i="2"/>
  <c r="C28" i="2"/>
  <c r="C29" i="2"/>
  <c r="O29" i="2" s="1"/>
  <c r="C30" i="2"/>
  <c r="C31" i="2"/>
  <c r="J31" i="2" s="1"/>
  <c r="C32" i="2"/>
  <c r="L32" i="2" s="1"/>
  <c r="C33" i="2"/>
  <c r="C3" i="2"/>
  <c r="C1" i="2"/>
  <c r="D33" i="2" l="1"/>
  <c r="P33" i="2" s="1"/>
  <c r="I33" i="2"/>
  <c r="U33" i="2" s="1"/>
  <c r="M33" i="2"/>
  <c r="Y33" i="2" s="1"/>
  <c r="D25" i="2"/>
  <c r="I25" i="2"/>
  <c r="M25" i="2"/>
  <c r="D17" i="2"/>
  <c r="I17" i="2"/>
  <c r="M17" i="2"/>
  <c r="D13" i="2"/>
  <c r="I13" i="2"/>
  <c r="M13" i="2"/>
  <c r="D9" i="2"/>
  <c r="I9" i="2"/>
  <c r="M9" i="2"/>
  <c r="L33" i="2"/>
  <c r="X33" i="2" s="1"/>
  <c r="L21" i="2"/>
  <c r="L13" i="2"/>
  <c r="G28" i="2"/>
  <c r="I28" i="2"/>
  <c r="M28" i="2"/>
  <c r="G20" i="2"/>
  <c r="I20" i="2"/>
  <c r="M20" i="2"/>
  <c r="G12" i="2"/>
  <c r="I12" i="2"/>
  <c r="M12" i="2"/>
  <c r="G8" i="2"/>
  <c r="I8" i="2"/>
  <c r="M8" i="2"/>
  <c r="G4" i="2"/>
  <c r="K4" i="2"/>
  <c r="I4" i="2"/>
  <c r="M4" i="2"/>
  <c r="J4" i="2"/>
  <c r="N4" i="2"/>
  <c r="K29" i="2"/>
  <c r="N28" i="2"/>
  <c r="H28" i="2"/>
  <c r="K21" i="2"/>
  <c r="N20" i="2"/>
  <c r="H20" i="2"/>
  <c r="K17" i="2"/>
  <c r="N16" i="2"/>
  <c r="K9" i="2"/>
  <c r="H8" i="2"/>
  <c r="E27" i="2"/>
  <c r="I27" i="2"/>
  <c r="M27" i="2"/>
  <c r="D27" i="2"/>
  <c r="E23" i="2"/>
  <c r="I23" i="2"/>
  <c r="M23" i="2"/>
  <c r="E19" i="2"/>
  <c r="I19" i="2"/>
  <c r="M19" i="2"/>
  <c r="E11" i="2"/>
  <c r="I11" i="2"/>
  <c r="M11" i="2"/>
  <c r="D11" i="2"/>
  <c r="E7" i="2"/>
  <c r="I7" i="2"/>
  <c r="M7" i="2"/>
  <c r="O33" i="2"/>
  <c r="AA33" i="2" s="1"/>
  <c r="J33" i="2"/>
  <c r="V33" i="2" s="1"/>
  <c r="O31" i="2"/>
  <c r="O25" i="2"/>
  <c r="J25" i="2"/>
  <c r="O23" i="2"/>
  <c r="J23" i="2"/>
  <c r="O21" i="2"/>
  <c r="L20" i="2"/>
  <c r="O19" i="2"/>
  <c r="J19" i="2"/>
  <c r="J13" i="2"/>
  <c r="O11" i="2"/>
  <c r="H4" i="2"/>
  <c r="D29" i="2"/>
  <c r="I29" i="2"/>
  <c r="M29" i="2"/>
  <c r="D21" i="2"/>
  <c r="I21" i="2"/>
  <c r="M21" i="2"/>
  <c r="AA32" i="2"/>
  <c r="L29" i="2"/>
  <c r="L25" i="2"/>
  <c r="L17" i="2"/>
  <c r="L9" i="2"/>
  <c r="G32" i="2"/>
  <c r="I32" i="2"/>
  <c r="U32" i="2" s="1"/>
  <c r="M32" i="2"/>
  <c r="G24" i="2"/>
  <c r="I24" i="2"/>
  <c r="M24" i="2"/>
  <c r="G16" i="2"/>
  <c r="I16" i="2"/>
  <c r="M16" i="2"/>
  <c r="K33" i="2"/>
  <c r="W33" i="2" s="1"/>
  <c r="N32" i="2"/>
  <c r="H32" i="2"/>
  <c r="K25" i="2"/>
  <c r="N24" i="2"/>
  <c r="H24" i="2"/>
  <c r="K13" i="2"/>
  <c r="N12" i="2"/>
  <c r="H12" i="2"/>
  <c r="N8" i="2"/>
  <c r="L4" i="2"/>
  <c r="E31" i="2"/>
  <c r="I31" i="2"/>
  <c r="M31" i="2"/>
  <c r="E15" i="2"/>
  <c r="I15" i="2"/>
  <c r="M15" i="2"/>
  <c r="D15" i="2"/>
  <c r="J29" i="2"/>
  <c r="L28" i="2"/>
  <c r="O27" i="2"/>
  <c r="J27" i="2"/>
  <c r="O17" i="2"/>
  <c r="J17" i="2"/>
  <c r="L16" i="2"/>
  <c r="O15" i="2"/>
  <c r="J15" i="2"/>
  <c r="O13" i="2"/>
  <c r="L12" i="2"/>
  <c r="J11" i="2"/>
  <c r="O9" i="2"/>
  <c r="J9" i="2"/>
  <c r="L8" i="2"/>
  <c r="O7" i="2"/>
  <c r="J7" i="2"/>
  <c r="E3" i="2"/>
  <c r="N3" i="2"/>
  <c r="I3" i="2"/>
  <c r="G30" i="2"/>
  <c r="I30" i="2"/>
  <c r="M30" i="2"/>
  <c r="G26" i="2"/>
  <c r="I26" i="2"/>
  <c r="M26" i="2"/>
  <c r="G22" i="2"/>
  <c r="I22" i="2"/>
  <c r="M22" i="2"/>
  <c r="G18" i="2"/>
  <c r="I18" i="2"/>
  <c r="M18" i="2"/>
  <c r="G14" i="2"/>
  <c r="I14" i="2"/>
  <c r="M14" i="2"/>
  <c r="G10" i="2"/>
  <c r="I10" i="2"/>
  <c r="M10" i="2"/>
  <c r="G6" i="2"/>
  <c r="I6" i="2"/>
  <c r="M6" i="2"/>
  <c r="D31" i="2"/>
  <c r="D7" i="2"/>
  <c r="K3" i="2"/>
  <c r="N33" i="2"/>
  <c r="Z33" i="2" s="1"/>
  <c r="H33" i="2"/>
  <c r="T33" i="2" s="1"/>
  <c r="K32" i="2"/>
  <c r="W32" i="2" s="1"/>
  <c r="W31" i="2" s="1"/>
  <c r="W30" i="2" s="1"/>
  <c r="W29" i="2" s="1"/>
  <c r="W28" i="2" s="1"/>
  <c r="W27" i="2" s="1"/>
  <c r="W26" i="2" s="1"/>
  <c r="W25" i="2" s="1"/>
  <c r="W24" i="2" s="1"/>
  <c r="W23" i="2" s="1"/>
  <c r="W22" i="2" s="1"/>
  <c r="W21" i="2" s="1"/>
  <c r="W20" i="2" s="1"/>
  <c r="W19" i="2" s="1"/>
  <c r="W18" i="2" s="1"/>
  <c r="W17" i="2" s="1"/>
  <c r="W16" i="2" s="1"/>
  <c r="W15" i="2" s="1"/>
  <c r="W14" i="2" s="1"/>
  <c r="W13" i="2" s="1"/>
  <c r="W12" i="2" s="1"/>
  <c r="W11" i="2" s="1"/>
  <c r="W10" i="2" s="1"/>
  <c r="W9" i="2" s="1"/>
  <c r="W8" i="2" s="1"/>
  <c r="W7" i="2" s="1"/>
  <c r="W6" i="2" s="1"/>
  <c r="W5" i="2" s="1"/>
  <c r="W4" i="2" s="1"/>
  <c r="W3" i="2" s="1"/>
  <c r="N31" i="2"/>
  <c r="H31" i="2"/>
  <c r="K30" i="2"/>
  <c r="N29" i="2"/>
  <c r="H29" i="2"/>
  <c r="K28" i="2"/>
  <c r="N27" i="2"/>
  <c r="H27" i="2"/>
  <c r="K26" i="2"/>
  <c r="N25" i="2"/>
  <c r="H25" i="2"/>
  <c r="K24" i="2"/>
  <c r="N23" i="2"/>
  <c r="H23" i="2"/>
  <c r="K22" i="2"/>
  <c r="N21" i="2"/>
  <c r="H21" i="2"/>
  <c r="K20" i="2"/>
  <c r="N19" i="2"/>
  <c r="H19" i="2"/>
  <c r="K18" i="2"/>
  <c r="N17" i="2"/>
  <c r="H17" i="2"/>
  <c r="K16" i="2"/>
  <c r="N15" i="2"/>
  <c r="H15" i="2"/>
  <c r="K14" i="2"/>
  <c r="N13" i="2"/>
  <c r="H13" i="2"/>
  <c r="K12" i="2"/>
  <c r="N11" i="2"/>
  <c r="H11" i="2"/>
  <c r="K10" i="2"/>
  <c r="N9" i="2"/>
  <c r="H9" i="2"/>
  <c r="K8" i="2"/>
  <c r="N7" i="2"/>
  <c r="H7" i="2"/>
  <c r="K6" i="2"/>
  <c r="J6" i="3"/>
  <c r="N6" i="3"/>
  <c r="F6" i="3"/>
  <c r="J10" i="3"/>
  <c r="N10" i="3"/>
  <c r="F10" i="3"/>
  <c r="J14" i="3"/>
  <c r="N14" i="3"/>
  <c r="F14" i="3"/>
  <c r="J18" i="3"/>
  <c r="N18" i="3"/>
  <c r="F18" i="3"/>
  <c r="J22" i="3"/>
  <c r="N22" i="3"/>
  <c r="F22" i="3"/>
  <c r="J26" i="3"/>
  <c r="N26" i="3"/>
  <c r="F26" i="3"/>
  <c r="J30" i="3"/>
  <c r="N30" i="3"/>
  <c r="D3" i="3"/>
  <c r="G33" i="3"/>
  <c r="G32" i="3"/>
  <c r="G31" i="3"/>
  <c r="G30" i="3"/>
  <c r="G29" i="3"/>
  <c r="G28" i="3"/>
  <c r="G27" i="3"/>
  <c r="G26" i="3"/>
  <c r="E25" i="3"/>
  <c r="D24" i="3"/>
  <c r="G22" i="3"/>
  <c r="E21" i="3"/>
  <c r="D20" i="3"/>
  <c r="G18" i="3"/>
  <c r="E17" i="3"/>
  <c r="D16" i="3"/>
  <c r="G14" i="3"/>
  <c r="E13" i="3"/>
  <c r="D12" i="3"/>
  <c r="G10" i="3"/>
  <c r="E9" i="3"/>
  <c r="D8" i="3"/>
  <c r="G6" i="3"/>
  <c r="E5" i="3"/>
  <c r="D4" i="3"/>
  <c r="M33" i="3"/>
  <c r="H33" i="3"/>
  <c r="K32" i="3"/>
  <c r="M31" i="3"/>
  <c r="K30" i="3"/>
  <c r="M29" i="3"/>
  <c r="H29" i="3"/>
  <c r="K28" i="3"/>
  <c r="M27" i="3"/>
  <c r="K26" i="3"/>
  <c r="M25" i="3"/>
  <c r="H25" i="3"/>
  <c r="K24" i="3"/>
  <c r="M23" i="3"/>
  <c r="K22" i="3"/>
  <c r="M21" i="3"/>
  <c r="H21" i="3"/>
  <c r="K20" i="3"/>
  <c r="M19" i="3"/>
  <c r="K18" i="3"/>
  <c r="M17" i="3"/>
  <c r="H17" i="3"/>
  <c r="K16" i="3"/>
  <c r="M15" i="3"/>
  <c r="K14" i="3"/>
  <c r="M13" i="3"/>
  <c r="H13" i="3"/>
  <c r="K12" i="3"/>
  <c r="M11" i="3"/>
  <c r="K10" i="3"/>
  <c r="M9" i="3"/>
  <c r="H9" i="3"/>
  <c r="K8" i="3"/>
  <c r="M7" i="3"/>
  <c r="K6" i="3"/>
  <c r="M5" i="3"/>
  <c r="H5" i="3"/>
  <c r="M5" i="2"/>
  <c r="I5" i="2"/>
  <c r="O3" i="3"/>
  <c r="K3" i="3"/>
  <c r="J7" i="3"/>
  <c r="N7" i="3"/>
  <c r="F7" i="3"/>
  <c r="J11" i="3"/>
  <c r="N11" i="3"/>
  <c r="F11" i="3"/>
  <c r="J15" i="3"/>
  <c r="N15" i="3"/>
  <c r="F15" i="3"/>
  <c r="J19" i="3"/>
  <c r="N19" i="3"/>
  <c r="F19" i="3"/>
  <c r="J23" i="3"/>
  <c r="N23" i="3"/>
  <c r="F23" i="3"/>
  <c r="J27" i="3"/>
  <c r="N27" i="3"/>
  <c r="J31" i="3"/>
  <c r="N31" i="3"/>
  <c r="G3" i="3"/>
  <c r="F33" i="3"/>
  <c r="F32" i="3"/>
  <c r="F31" i="3"/>
  <c r="F30" i="3"/>
  <c r="F29" i="3"/>
  <c r="F28" i="3"/>
  <c r="F27" i="3"/>
  <c r="E26" i="3"/>
  <c r="D25" i="3"/>
  <c r="G23" i="3"/>
  <c r="E22" i="3"/>
  <c r="D21" i="3"/>
  <c r="G19" i="3"/>
  <c r="E18" i="3"/>
  <c r="D17" i="3"/>
  <c r="G15" i="3"/>
  <c r="E14" i="3"/>
  <c r="D13" i="3"/>
  <c r="G11" i="3"/>
  <c r="E10" i="3"/>
  <c r="D9" i="3"/>
  <c r="G7" i="3"/>
  <c r="E6" i="3"/>
  <c r="D5" i="3"/>
  <c r="H3" i="3"/>
  <c r="N3" i="3"/>
  <c r="L33" i="3"/>
  <c r="O32" i="3"/>
  <c r="L31" i="3"/>
  <c r="O30" i="3"/>
  <c r="I30" i="3"/>
  <c r="L29" i="3"/>
  <c r="O28" i="3"/>
  <c r="L27" i="3"/>
  <c r="O26" i="3"/>
  <c r="I26" i="3"/>
  <c r="L25" i="3"/>
  <c r="O24" i="3"/>
  <c r="L23" i="3"/>
  <c r="O22" i="3"/>
  <c r="I22" i="3"/>
  <c r="L21" i="3"/>
  <c r="O20" i="3"/>
  <c r="L19" i="3"/>
  <c r="O18" i="3"/>
  <c r="I18" i="3"/>
  <c r="L17" i="3"/>
  <c r="O16" i="3"/>
  <c r="L15" i="3"/>
  <c r="O14" i="3"/>
  <c r="I14" i="3"/>
  <c r="L13" i="3"/>
  <c r="O12" i="3"/>
  <c r="L11" i="3"/>
  <c r="O10" i="3"/>
  <c r="I10" i="3"/>
  <c r="L9" i="3"/>
  <c r="O8" i="3"/>
  <c r="L7" i="3"/>
  <c r="O6" i="3"/>
  <c r="I6" i="3"/>
  <c r="L5" i="3"/>
  <c r="H4" i="3"/>
  <c r="I4" i="3"/>
  <c r="J4" i="3"/>
  <c r="N4" i="3"/>
  <c r="F4" i="3"/>
  <c r="K4" i="3"/>
  <c r="J8" i="3"/>
  <c r="N8" i="3"/>
  <c r="F8" i="3"/>
  <c r="J12" i="3"/>
  <c r="N12" i="3"/>
  <c r="F12" i="3"/>
  <c r="J16" i="3"/>
  <c r="N16" i="3"/>
  <c r="F16" i="3"/>
  <c r="J20" i="3"/>
  <c r="N20" i="3"/>
  <c r="F20" i="3"/>
  <c r="J24" i="3"/>
  <c r="N24" i="3"/>
  <c r="F24" i="3"/>
  <c r="J28" i="3"/>
  <c r="N28" i="3"/>
  <c r="J32" i="3"/>
  <c r="V32" i="3" s="1"/>
  <c r="V31" i="3" s="1"/>
  <c r="N32" i="3"/>
  <c r="Z32" i="3" s="1"/>
  <c r="F3" i="3"/>
  <c r="E33" i="3"/>
  <c r="E32" i="3"/>
  <c r="Q32" i="3" s="1"/>
  <c r="E31" i="3"/>
  <c r="E30" i="3"/>
  <c r="E29" i="3"/>
  <c r="E28" i="3"/>
  <c r="E27" i="3"/>
  <c r="D26" i="3"/>
  <c r="G24" i="3"/>
  <c r="E23" i="3"/>
  <c r="D22" i="3"/>
  <c r="G20" i="3"/>
  <c r="E19" i="3"/>
  <c r="D18" i="3"/>
  <c r="G16" i="3"/>
  <c r="E15" i="3"/>
  <c r="D14" i="3"/>
  <c r="G12" i="3"/>
  <c r="E11" i="3"/>
  <c r="D10" i="3"/>
  <c r="G8" i="3"/>
  <c r="E7" i="3"/>
  <c r="D6" i="3"/>
  <c r="G4" i="3"/>
  <c r="J3" i="3"/>
  <c r="M3" i="3"/>
  <c r="M32" i="3"/>
  <c r="H32" i="3"/>
  <c r="K31" i="3"/>
  <c r="M30" i="3"/>
  <c r="H30" i="3"/>
  <c r="M28" i="3"/>
  <c r="H28" i="3"/>
  <c r="K27" i="3"/>
  <c r="M26" i="3"/>
  <c r="H26" i="3"/>
  <c r="M24" i="3"/>
  <c r="H24" i="3"/>
  <c r="K23" i="3"/>
  <c r="M22" i="3"/>
  <c r="H22" i="3"/>
  <c r="M20" i="3"/>
  <c r="H20" i="3"/>
  <c r="K19" i="3"/>
  <c r="M18" i="3"/>
  <c r="H18" i="3"/>
  <c r="M16" i="3"/>
  <c r="H16" i="3"/>
  <c r="K15" i="3"/>
  <c r="M14" i="3"/>
  <c r="H14" i="3"/>
  <c r="M12" i="3"/>
  <c r="H12" i="3"/>
  <c r="K11" i="3"/>
  <c r="M10" i="3"/>
  <c r="H10" i="3"/>
  <c r="M8" i="3"/>
  <c r="H8" i="3"/>
  <c r="K7" i="3"/>
  <c r="M6" i="3"/>
  <c r="H6" i="3"/>
  <c r="M4" i="3"/>
  <c r="J5" i="3"/>
  <c r="N5" i="3"/>
  <c r="F5" i="3"/>
  <c r="J9" i="3"/>
  <c r="N9" i="3"/>
  <c r="F9" i="3"/>
  <c r="J13" i="3"/>
  <c r="N13" i="3"/>
  <c r="F13" i="3"/>
  <c r="J17" i="3"/>
  <c r="N17" i="3"/>
  <c r="F17" i="3"/>
  <c r="J21" i="3"/>
  <c r="N21" i="3"/>
  <c r="F21" i="3"/>
  <c r="J25" i="3"/>
  <c r="N25" i="3"/>
  <c r="F25" i="3"/>
  <c r="J29" i="3"/>
  <c r="N29" i="3"/>
  <c r="X33" i="3"/>
  <c r="J33" i="3"/>
  <c r="N33" i="3"/>
  <c r="E3" i="3"/>
  <c r="D33" i="3"/>
  <c r="P33" i="3" s="1"/>
  <c r="D32" i="3"/>
  <c r="D31" i="3"/>
  <c r="D30" i="3"/>
  <c r="D29" i="3"/>
  <c r="D28" i="3"/>
  <c r="D27" i="3"/>
  <c r="G25" i="3"/>
  <c r="E24" i="3"/>
  <c r="D23" i="3"/>
  <c r="G21" i="3"/>
  <c r="E20" i="3"/>
  <c r="D19" i="3"/>
  <c r="G17" i="3"/>
  <c r="E16" i="3"/>
  <c r="D15" i="3"/>
  <c r="G13" i="3"/>
  <c r="E12" i="3"/>
  <c r="D11" i="3"/>
  <c r="G9" i="3"/>
  <c r="E8" i="3"/>
  <c r="D7" i="3"/>
  <c r="G5" i="3"/>
  <c r="E4" i="3"/>
  <c r="I3" i="3"/>
  <c r="O33" i="3"/>
  <c r="I33" i="3"/>
  <c r="L32" i="3"/>
  <c r="X32" i="3" s="1"/>
  <c r="X31" i="3" s="1"/>
  <c r="X30" i="3" s="1"/>
  <c r="O31" i="3"/>
  <c r="I31" i="3"/>
  <c r="L30" i="3"/>
  <c r="O29" i="3"/>
  <c r="I29" i="3"/>
  <c r="L28" i="3"/>
  <c r="O27" i="3"/>
  <c r="I27" i="3"/>
  <c r="L26" i="3"/>
  <c r="O25" i="3"/>
  <c r="I25" i="3"/>
  <c r="L24" i="3"/>
  <c r="O23" i="3"/>
  <c r="I23" i="3"/>
  <c r="L22" i="3"/>
  <c r="O21" i="3"/>
  <c r="I21" i="3"/>
  <c r="L20" i="3"/>
  <c r="O19" i="3"/>
  <c r="I19" i="3"/>
  <c r="L18" i="3"/>
  <c r="O17" i="3"/>
  <c r="I17" i="3"/>
  <c r="L16" i="3"/>
  <c r="O15" i="3"/>
  <c r="I15" i="3"/>
  <c r="L14" i="3"/>
  <c r="O13" i="3"/>
  <c r="I13" i="3"/>
  <c r="L12" i="3"/>
  <c r="O11" i="3"/>
  <c r="I11" i="3"/>
  <c r="L10" i="3"/>
  <c r="O9" i="3"/>
  <c r="I9" i="3"/>
  <c r="L8" i="3"/>
  <c r="O7" i="3"/>
  <c r="I7" i="3"/>
  <c r="L6" i="3"/>
  <c r="O5" i="3"/>
  <c r="I5" i="3"/>
  <c r="L4" i="3"/>
  <c r="S33" i="3"/>
  <c r="W33" i="3"/>
  <c r="AA33" i="3"/>
  <c r="S32" i="3"/>
  <c r="S31" i="3" s="1"/>
  <c r="S30" i="3" s="1"/>
  <c r="W32" i="3"/>
  <c r="AA32" i="3"/>
  <c r="R33" i="3"/>
  <c r="V33" i="3"/>
  <c r="Z33" i="3"/>
  <c r="W31" i="3"/>
  <c r="W30" i="3" s="1"/>
  <c r="R32" i="3"/>
  <c r="Q33" i="3"/>
  <c r="U33" i="3"/>
  <c r="Y33" i="3"/>
  <c r="R31" i="3"/>
  <c r="U32" i="3"/>
  <c r="T33" i="3"/>
  <c r="D30" i="2"/>
  <c r="D26" i="2"/>
  <c r="D22" i="2"/>
  <c r="D18" i="2"/>
  <c r="D14" i="2"/>
  <c r="D10" i="2"/>
  <c r="D6" i="2"/>
  <c r="E33" i="2"/>
  <c r="Q33" i="2" s="1"/>
  <c r="E29" i="2"/>
  <c r="E25" i="2"/>
  <c r="E21" i="2"/>
  <c r="E17" i="2"/>
  <c r="E13" i="2"/>
  <c r="E9" i="2"/>
  <c r="E5" i="2"/>
  <c r="G33" i="2"/>
  <c r="S33" i="2" s="1"/>
  <c r="F31" i="2"/>
  <c r="F29" i="2"/>
  <c r="F27" i="2"/>
  <c r="F25" i="2"/>
  <c r="F23" i="2"/>
  <c r="F21" i="2"/>
  <c r="F19" i="2"/>
  <c r="F17" i="2"/>
  <c r="F15" i="2"/>
  <c r="F13" i="2"/>
  <c r="F11" i="2"/>
  <c r="F9" i="2"/>
  <c r="F7" i="2"/>
  <c r="F5" i="2"/>
  <c r="F3" i="2"/>
  <c r="D3" i="2"/>
  <c r="E30" i="2"/>
  <c r="E26" i="2"/>
  <c r="E22" i="2"/>
  <c r="E18" i="2"/>
  <c r="E14" i="2"/>
  <c r="E10" i="2"/>
  <c r="E6" i="2"/>
  <c r="F33" i="2"/>
  <c r="R33" i="2" s="1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D32" i="2"/>
  <c r="P32" i="2" s="1"/>
  <c r="P31" i="2" s="1"/>
  <c r="P30" i="2" s="1"/>
  <c r="P29" i="2" s="1"/>
  <c r="P28" i="2" s="1"/>
  <c r="P27" i="2" s="1"/>
  <c r="P26" i="2" s="1"/>
  <c r="P25" i="2" s="1"/>
  <c r="P24" i="2" s="1"/>
  <c r="P23" i="2" s="1"/>
  <c r="P22" i="2" s="1"/>
  <c r="P21" i="2" s="1"/>
  <c r="P20" i="2" s="1"/>
  <c r="P19" i="2" s="1"/>
  <c r="P18" i="2" s="1"/>
  <c r="P17" i="2" s="1"/>
  <c r="P16" i="2" s="1"/>
  <c r="P15" i="2" s="1"/>
  <c r="P14" i="2" s="1"/>
  <c r="P13" i="2" s="1"/>
  <c r="P12" i="2" s="1"/>
  <c r="P11" i="2" s="1"/>
  <c r="P10" i="2" s="1"/>
  <c r="P9" i="2" s="1"/>
  <c r="P8" i="2" s="1"/>
  <c r="P7" i="2" s="1"/>
  <c r="P6" i="2" s="1"/>
  <c r="P5" i="2" s="1"/>
  <c r="P4" i="2" s="1"/>
  <c r="P3" i="2" s="1"/>
  <c r="D28" i="2"/>
  <c r="D24" i="2"/>
  <c r="D20" i="2"/>
  <c r="D16" i="2"/>
  <c r="D12" i="2"/>
  <c r="D8" i="2"/>
  <c r="D4" i="2"/>
  <c r="F32" i="2"/>
  <c r="R32" i="2" s="1"/>
  <c r="R31" i="2" s="1"/>
  <c r="R30" i="2" s="1"/>
  <c r="R29" i="2" s="1"/>
  <c r="R28" i="2" s="1"/>
  <c r="R27" i="2" s="1"/>
  <c r="R26" i="2" s="1"/>
  <c r="R25" i="2" s="1"/>
  <c r="F30" i="2"/>
  <c r="F28" i="2"/>
  <c r="F26" i="2"/>
  <c r="F24" i="2"/>
  <c r="F22" i="2"/>
  <c r="F20" i="2"/>
  <c r="F18" i="2"/>
  <c r="F16" i="2"/>
  <c r="F14" i="2"/>
  <c r="F12" i="2"/>
  <c r="F10" i="2"/>
  <c r="F8" i="2"/>
  <c r="F6" i="2"/>
  <c r="F4" i="2"/>
  <c r="E32" i="2"/>
  <c r="E28" i="2"/>
  <c r="E24" i="2"/>
  <c r="E20" i="2"/>
  <c r="E16" i="2"/>
  <c r="E12" i="2"/>
  <c r="E8" i="2"/>
  <c r="E4" i="2"/>
  <c r="Q32" i="2" l="1"/>
  <c r="Q31" i="2" s="1"/>
  <c r="Q30" i="2" s="1"/>
  <c r="Q29" i="2" s="1"/>
  <c r="Q28" i="2" s="1"/>
  <c r="Q27" i="2" s="1"/>
  <c r="Q26" i="2" s="1"/>
  <c r="Q25" i="2" s="1"/>
  <c r="Q24" i="2" s="1"/>
  <c r="Q23" i="2" s="1"/>
  <c r="Q22" i="2" s="1"/>
  <c r="Q21" i="2" s="1"/>
  <c r="Q20" i="2" s="1"/>
  <c r="Q19" i="2" s="1"/>
  <c r="Q18" i="2" s="1"/>
  <c r="Q17" i="2" s="1"/>
  <c r="Q16" i="2" s="1"/>
  <c r="Q15" i="2" s="1"/>
  <c r="Q14" i="2" s="1"/>
  <c r="Q13" i="2" s="1"/>
  <c r="Q12" i="2" s="1"/>
  <c r="Q11" i="2" s="1"/>
  <c r="Q10" i="2" s="1"/>
  <c r="Q9" i="2" s="1"/>
  <c r="Q8" i="2" s="1"/>
  <c r="Q7" i="2" s="1"/>
  <c r="Q6" i="2" s="1"/>
  <c r="Q5" i="2" s="1"/>
  <c r="Q4" i="2" s="1"/>
  <c r="Q3" i="2" s="1"/>
  <c r="S32" i="2"/>
  <c r="S31" i="2" s="1"/>
  <c r="S30" i="2" s="1"/>
  <c r="S29" i="2" s="1"/>
  <c r="S28" i="2" s="1"/>
  <c r="S27" i="2" s="1"/>
  <c r="S26" i="2" s="1"/>
  <c r="S25" i="2" s="1"/>
  <c r="S24" i="2" s="1"/>
  <c r="S23" i="2" s="1"/>
  <c r="S22" i="2" s="1"/>
  <c r="S21" i="2" s="1"/>
  <c r="S20" i="2" s="1"/>
  <c r="S19" i="2" s="1"/>
  <c r="S18" i="2" s="1"/>
  <c r="S17" i="2" s="1"/>
  <c r="S16" i="2" s="1"/>
  <c r="S15" i="2" s="1"/>
  <c r="S14" i="2" s="1"/>
  <c r="S13" i="2" s="1"/>
  <c r="S12" i="2" s="1"/>
  <c r="S11" i="2" s="1"/>
  <c r="S10" i="2" s="1"/>
  <c r="S9" i="2" s="1"/>
  <c r="S8" i="2" s="1"/>
  <c r="S7" i="2" s="1"/>
  <c r="S6" i="2" s="1"/>
  <c r="S5" i="2" s="1"/>
  <c r="S4" i="2" s="1"/>
  <c r="S3" i="2" s="1"/>
  <c r="R24" i="2"/>
  <c r="R23" i="2" s="1"/>
  <c r="R22" i="2" s="1"/>
  <c r="R21" i="2" s="1"/>
  <c r="R20" i="2" s="1"/>
  <c r="R19" i="2" s="1"/>
  <c r="R18" i="2" s="1"/>
  <c r="R17" i="2" s="1"/>
  <c r="R16" i="2" s="1"/>
  <c r="R15" i="2" s="1"/>
  <c r="R14" i="2" s="1"/>
  <c r="R13" i="2" s="1"/>
  <c r="R12" i="2" s="1"/>
  <c r="R11" i="2" s="1"/>
  <c r="R10" i="2" s="1"/>
  <c r="R9" i="2" s="1"/>
  <c r="R8" i="2" s="1"/>
  <c r="R7" i="2" s="1"/>
  <c r="R6" i="2" s="1"/>
  <c r="R5" i="2" s="1"/>
  <c r="R4" i="2" s="1"/>
  <c r="R3" i="2" s="1"/>
  <c r="U31" i="2"/>
  <c r="U30" i="2" s="1"/>
  <c r="U29" i="2" s="1"/>
  <c r="U28" i="2" s="1"/>
  <c r="U27" i="2" s="1"/>
  <c r="U26" i="2" s="1"/>
  <c r="U25" i="2" s="1"/>
  <c r="U24" i="2" s="1"/>
  <c r="U23" i="2" s="1"/>
  <c r="U22" i="2" s="1"/>
  <c r="U21" i="2" s="1"/>
  <c r="U20" i="2" s="1"/>
  <c r="U19" i="2" s="1"/>
  <c r="U18" i="2" s="1"/>
  <c r="U17" i="2" s="1"/>
  <c r="U16" i="2" s="1"/>
  <c r="U15" i="2" s="1"/>
  <c r="U14" i="2" s="1"/>
  <c r="U13" i="2" s="1"/>
  <c r="U12" i="2" s="1"/>
  <c r="U11" i="2" s="1"/>
  <c r="U10" i="2" s="1"/>
  <c r="U9" i="2" s="1"/>
  <c r="U8" i="2" s="1"/>
  <c r="U7" i="2" s="1"/>
  <c r="U6" i="2" s="1"/>
  <c r="U5" i="2" s="1"/>
  <c r="U4" i="2" s="1"/>
  <c r="U3" i="2" s="1"/>
  <c r="AA31" i="3"/>
  <c r="T32" i="2"/>
  <c r="T31" i="2" s="1"/>
  <c r="T30" i="2" s="1"/>
  <c r="T29" i="2" s="1"/>
  <c r="T28" i="2" s="1"/>
  <c r="T27" i="2" s="1"/>
  <c r="T26" i="2" s="1"/>
  <c r="T25" i="2" s="1"/>
  <c r="T24" i="2" s="1"/>
  <c r="T23" i="2" s="1"/>
  <c r="T22" i="2" s="1"/>
  <c r="T21" i="2" s="1"/>
  <c r="T20" i="2" s="1"/>
  <c r="T19" i="2" s="1"/>
  <c r="T18" i="2" s="1"/>
  <c r="T17" i="2" s="1"/>
  <c r="T16" i="2" s="1"/>
  <c r="T15" i="2" s="1"/>
  <c r="T14" i="2" s="1"/>
  <c r="T13" i="2" s="1"/>
  <c r="T12" i="2" s="1"/>
  <c r="T11" i="2" s="1"/>
  <c r="T10" i="2" s="1"/>
  <c r="T9" i="2" s="1"/>
  <c r="T8" i="2" s="1"/>
  <c r="T7" i="2" s="1"/>
  <c r="T6" i="2" s="1"/>
  <c r="T5" i="2" s="1"/>
  <c r="T4" i="2" s="1"/>
  <c r="T3" i="2" s="1"/>
  <c r="AA31" i="2"/>
  <c r="AA30" i="2" s="1"/>
  <c r="AA29" i="2" s="1"/>
  <c r="AA28" i="2" s="1"/>
  <c r="AA27" i="2" s="1"/>
  <c r="AA26" i="2" s="1"/>
  <c r="AA25" i="2" s="1"/>
  <c r="AA24" i="2" s="1"/>
  <c r="AA23" i="2" s="1"/>
  <c r="AA22" i="2" s="1"/>
  <c r="AA21" i="2" s="1"/>
  <c r="AA20" i="2" s="1"/>
  <c r="AA19" i="2" s="1"/>
  <c r="AA18" i="2" s="1"/>
  <c r="AA17" i="2" s="1"/>
  <c r="AA16" i="2" s="1"/>
  <c r="AA15" i="2" s="1"/>
  <c r="AA14" i="2" s="1"/>
  <c r="AA13" i="2" s="1"/>
  <c r="AA12" i="2" s="1"/>
  <c r="AA11" i="2" s="1"/>
  <c r="AA10" i="2" s="1"/>
  <c r="AA9" i="2" s="1"/>
  <c r="AA8" i="2" s="1"/>
  <c r="AA7" i="2" s="1"/>
  <c r="AA6" i="2" s="1"/>
  <c r="AA5" i="2" s="1"/>
  <c r="AA4" i="2" s="1"/>
  <c r="AA3" i="2" s="1"/>
  <c r="V32" i="2"/>
  <c r="V31" i="2" s="1"/>
  <c r="V30" i="2" s="1"/>
  <c r="V29" i="2" s="1"/>
  <c r="V28" i="2" s="1"/>
  <c r="V27" i="2" s="1"/>
  <c r="V26" i="2" s="1"/>
  <c r="V25" i="2" s="1"/>
  <c r="V24" i="2" s="1"/>
  <c r="V23" i="2" s="1"/>
  <c r="V22" i="2" s="1"/>
  <c r="V21" i="2" s="1"/>
  <c r="V20" i="2" s="1"/>
  <c r="V19" i="2" s="1"/>
  <c r="V18" i="2" s="1"/>
  <c r="V17" i="2" s="1"/>
  <c r="V16" i="2" s="1"/>
  <c r="V15" i="2" s="1"/>
  <c r="V14" i="2" s="1"/>
  <c r="V13" i="2" s="1"/>
  <c r="V12" i="2" s="1"/>
  <c r="V11" i="2" s="1"/>
  <c r="V10" i="2" s="1"/>
  <c r="V9" i="2" s="1"/>
  <c r="V8" i="2" s="1"/>
  <c r="V7" i="2" s="1"/>
  <c r="V6" i="2" s="1"/>
  <c r="V5" i="2" s="1"/>
  <c r="V4" i="2" s="1"/>
  <c r="V3" i="2" s="1"/>
  <c r="Z32" i="2"/>
  <c r="Z31" i="2" s="1"/>
  <c r="Z30" i="2" s="1"/>
  <c r="Z29" i="2" s="1"/>
  <c r="Z28" i="2" s="1"/>
  <c r="Z27" i="2" s="1"/>
  <c r="Z26" i="2" s="1"/>
  <c r="Z25" i="2" s="1"/>
  <c r="Z24" i="2" s="1"/>
  <c r="Z23" i="2" s="1"/>
  <c r="Z22" i="2" s="1"/>
  <c r="Z21" i="2" s="1"/>
  <c r="Z20" i="2" s="1"/>
  <c r="Z19" i="2" s="1"/>
  <c r="Z18" i="2" s="1"/>
  <c r="Z17" i="2" s="1"/>
  <c r="Z16" i="2" s="1"/>
  <c r="Z15" i="2" s="1"/>
  <c r="Z14" i="2" s="1"/>
  <c r="Z13" i="2" s="1"/>
  <c r="Z12" i="2" s="1"/>
  <c r="Z11" i="2" s="1"/>
  <c r="Z10" i="2" s="1"/>
  <c r="Z9" i="2" s="1"/>
  <c r="Z8" i="2" s="1"/>
  <c r="Z7" i="2" s="1"/>
  <c r="Z6" i="2" s="1"/>
  <c r="Z5" i="2" s="1"/>
  <c r="Z4" i="2" s="1"/>
  <c r="Z3" i="2" s="1"/>
  <c r="Y32" i="2"/>
  <c r="Y31" i="2" s="1"/>
  <c r="Y30" i="2" s="1"/>
  <c r="Y29" i="2" s="1"/>
  <c r="Y28" i="2" s="1"/>
  <c r="Y27" i="2" s="1"/>
  <c r="Y26" i="2" s="1"/>
  <c r="Y25" i="2" s="1"/>
  <c r="Y24" i="2" s="1"/>
  <c r="Y23" i="2" s="1"/>
  <c r="Y22" i="2" s="1"/>
  <c r="Y21" i="2" s="1"/>
  <c r="Y20" i="2" s="1"/>
  <c r="Y19" i="2" s="1"/>
  <c r="Y18" i="2" s="1"/>
  <c r="Y17" i="2" s="1"/>
  <c r="Y16" i="2" s="1"/>
  <c r="Y15" i="2" s="1"/>
  <c r="Y14" i="2" s="1"/>
  <c r="Y13" i="2" s="1"/>
  <c r="Y12" i="2" s="1"/>
  <c r="Y11" i="2" s="1"/>
  <c r="Y10" i="2" s="1"/>
  <c r="Y9" i="2" s="1"/>
  <c r="Y8" i="2" s="1"/>
  <c r="Y7" i="2" s="1"/>
  <c r="Y6" i="2" s="1"/>
  <c r="Y5" i="2" s="1"/>
  <c r="Y4" i="2" s="1"/>
  <c r="Y3" i="2" s="1"/>
  <c r="X32" i="2"/>
  <c r="X31" i="2" s="1"/>
  <c r="X30" i="2" s="1"/>
  <c r="X29" i="2" s="1"/>
  <c r="X28" i="2" s="1"/>
  <c r="X27" i="2" s="1"/>
  <c r="X26" i="2" s="1"/>
  <c r="X25" i="2" s="1"/>
  <c r="X24" i="2" s="1"/>
  <c r="X23" i="2" s="1"/>
  <c r="X22" i="2" s="1"/>
  <c r="X21" i="2" s="1"/>
  <c r="X20" i="2" s="1"/>
  <c r="X19" i="2" s="1"/>
  <c r="X18" i="2" s="1"/>
  <c r="X17" i="2" s="1"/>
  <c r="X16" i="2" s="1"/>
  <c r="X15" i="2" s="1"/>
  <c r="X14" i="2" s="1"/>
  <c r="X13" i="2" s="1"/>
  <c r="X12" i="2" s="1"/>
  <c r="X11" i="2" s="1"/>
  <c r="X10" i="2" s="1"/>
  <c r="X9" i="2" s="1"/>
  <c r="X8" i="2" s="1"/>
  <c r="X7" i="2" s="1"/>
  <c r="X6" i="2" s="1"/>
  <c r="X5" i="2" s="1"/>
  <c r="X4" i="2" s="1"/>
  <c r="X3" i="2" s="1"/>
  <c r="S29" i="3"/>
  <c r="S28" i="3" s="1"/>
  <c r="S27" i="3" s="1"/>
  <c r="S26" i="3" s="1"/>
  <c r="S25" i="3" s="1"/>
  <c r="S24" i="3" s="1"/>
  <c r="S23" i="3" s="1"/>
  <c r="S22" i="3" s="1"/>
  <c r="S21" i="3" s="1"/>
  <c r="S20" i="3" s="1"/>
  <c r="S19" i="3" s="1"/>
  <c r="S18" i="3" s="1"/>
  <c r="S17" i="3" s="1"/>
  <c r="S16" i="3" s="1"/>
  <c r="S15" i="3" s="1"/>
  <c r="S14" i="3" s="1"/>
  <c r="S13" i="3" s="1"/>
  <c r="S12" i="3" s="1"/>
  <c r="S11" i="3" s="1"/>
  <c r="S10" i="3" s="1"/>
  <c r="S9" i="3" s="1"/>
  <c r="S8" i="3" s="1"/>
  <c r="S7" i="3" s="1"/>
  <c r="S6" i="3" s="1"/>
  <c r="S5" i="3" s="1"/>
  <c r="S4" i="3" s="1"/>
  <c r="S3" i="3" s="1"/>
  <c r="X29" i="3"/>
  <c r="X28" i="3" s="1"/>
  <c r="X27" i="3" s="1"/>
  <c r="X26" i="3" s="1"/>
  <c r="X25" i="3" s="1"/>
  <c r="X24" i="3" s="1"/>
  <c r="X23" i="3" s="1"/>
  <c r="X22" i="3" s="1"/>
  <c r="X21" i="3" s="1"/>
  <c r="X20" i="3" s="1"/>
  <c r="X19" i="3" s="1"/>
  <c r="X18" i="3" s="1"/>
  <c r="X17" i="3" s="1"/>
  <c r="X16" i="3" s="1"/>
  <c r="X15" i="3" s="1"/>
  <c r="X14" i="3" s="1"/>
  <c r="X13" i="3" s="1"/>
  <c r="X12" i="3" s="1"/>
  <c r="X11" i="3" s="1"/>
  <c r="X10" i="3" s="1"/>
  <c r="X9" i="3" s="1"/>
  <c r="X8" i="3" s="1"/>
  <c r="X7" i="3" s="1"/>
  <c r="X6" i="3" s="1"/>
  <c r="X5" i="3" s="1"/>
  <c r="X4" i="3" s="1"/>
  <c r="X3" i="3" s="1"/>
  <c r="AA30" i="3"/>
  <c r="AA29" i="3" s="1"/>
  <c r="AA28" i="3" s="1"/>
  <c r="AA27" i="3" s="1"/>
  <c r="AA26" i="3" s="1"/>
  <c r="AA25" i="3" s="1"/>
  <c r="AA24" i="3" s="1"/>
  <c r="AA23" i="3" s="1"/>
  <c r="AA22" i="3" s="1"/>
  <c r="AA21" i="3" s="1"/>
  <c r="AA20" i="3" s="1"/>
  <c r="AA19" i="3" s="1"/>
  <c r="AA18" i="3" s="1"/>
  <c r="AA17" i="3" s="1"/>
  <c r="AA16" i="3" s="1"/>
  <c r="AA15" i="3" s="1"/>
  <c r="AA14" i="3" s="1"/>
  <c r="AA13" i="3" s="1"/>
  <c r="AA12" i="3" s="1"/>
  <c r="AA11" i="3" s="1"/>
  <c r="AA10" i="3" s="1"/>
  <c r="AA9" i="3" s="1"/>
  <c r="AA8" i="3" s="1"/>
  <c r="AA7" i="3" s="1"/>
  <c r="AA6" i="3" s="1"/>
  <c r="AA5" i="3" s="1"/>
  <c r="AA4" i="3" s="1"/>
  <c r="AA3" i="3" s="1"/>
  <c r="P32" i="3"/>
  <c r="P31" i="3" s="1"/>
  <c r="P30" i="3" s="1"/>
  <c r="P29" i="3" s="1"/>
  <c r="P28" i="3" s="1"/>
  <c r="P27" i="3" s="1"/>
  <c r="P26" i="3" s="1"/>
  <c r="P25" i="3" s="1"/>
  <c r="P24" i="3" s="1"/>
  <c r="P23" i="3" s="1"/>
  <c r="P22" i="3" s="1"/>
  <c r="P21" i="3" s="1"/>
  <c r="P20" i="3" s="1"/>
  <c r="P19" i="3" s="1"/>
  <c r="P18" i="3" s="1"/>
  <c r="P17" i="3" s="1"/>
  <c r="P16" i="3" s="1"/>
  <c r="P15" i="3" s="1"/>
  <c r="P14" i="3" s="1"/>
  <c r="P13" i="3" s="1"/>
  <c r="P12" i="3" s="1"/>
  <c r="P11" i="3" s="1"/>
  <c r="P10" i="3" s="1"/>
  <c r="P9" i="3" s="1"/>
  <c r="P8" i="3" s="1"/>
  <c r="P7" i="3" s="1"/>
  <c r="P6" i="3" s="1"/>
  <c r="P5" i="3" s="1"/>
  <c r="P4" i="3" s="1"/>
  <c r="P3" i="3" s="1"/>
  <c r="V30" i="3"/>
  <c r="V29" i="3" s="1"/>
  <c r="V28" i="3" s="1"/>
  <c r="V27" i="3" s="1"/>
  <c r="V26" i="3" s="1"/>
  <c r="V25" i="3" s="1"/>
  <c r="V24" i="3" s="1"/>
  <c r="V23" i="3" s="1"/>
  <c r="V22" i="3" s="1"/>
  <c r="V21" i="3" s="1"/>
  <c r="V20" i="3" s="1"/>
  <c r="V19" i="3" s="1"/>
  <c r="V18" i="3" s="1"/>
  <c r="V17" i="3" s="1"/>
  <c r="V16" i="3" s="1"/>
  <c r="V15" i="3" s="1"/>
  <c r="V14" i="3" s="1"/>
  <c r="V13" i="3" s="1"/>
  <c r="V12" i="3" s="1"/>
  <c r="V11" i="3" s="1"/>
  <c r="V10" i="3" s="1"/>
  <c r="V9" i="3" s="1"/>
  <c r="V8" i="3" s="1"/>
  <c r="V7" i="3" s="1"/>
  <c r="V6" i="3" s="1"/>
  <c r="V5" i="3" s="1"/>
  <c r="V4" i="3" s="1"/>
  <c r="V3" i="3" s="1"/>
  <c r="W29" i="3"/>
  <c r="W28" i="3" s="1"/>
  <c r="W27" i="3" s="1"/>
  <c r="W26" i="3" s="1"/>
  <c r="W25" i="3" s="1"/>
  <c r="W24" i="3" s="1"/>
  <c r="W23" i="3" s="1"/>
  <c r="W22" i="3" s="1"/>
  <c r="W21" i="3" s="1"/>
  <c r="W20" i="3" s="1"/>
  <c r="W19" i="3" s="1"/>
  <c r="W18" i="3" s="1"/>
  <c r="W17" i="3" s="1"/>
  <c r="W16" i="3" s="1"/>
  <c r="W15" i="3" s="1"/>
  <c r="W14" i="3" s="1"/>
  <c r="W13" i="3" s="1"/>
  <c r="W12" i="3" s="1"/>
  <c r="W11" i="3" s="1"/>
  <c r="W10" i="3" s="1"/>
  <c r="W9" i="3" s="1"/>
  <c r="W8" i="3" s="1"/>
  <c r="W7" i="3" s="1"/>
  <c r="W6" i="3" s="1"/>
  <c r="W5" i="3" s="1"/>
  <c r="W4" i="3" s="1"/>
  <c r="W3" i="3" s="1"/>
  <c r="Z31" i="3"/>
  <c r="Z30" i="3" s="1"/>
  <c r="Z29" i="3" s="1"/>
  <c r="Z28" i="3" s="1"/>
  <c r="Z27" i="3" s="1"/>
  <c r="Z26" i="3" s="1"/>
  <c r="Z25" i="3" s="1"/>
  <c r="Z24" i="3" s="1"/>
  <c r="Z23" i="3" s="1"/>
  <c r="Z22" i="3" s="1"/>
  <c r="Z21" i="3" s="1"/>
  <c r="Z20" i="3" s="1"/>
  <c r="Z19" i="3" s="1"/>
  <c r="Z18" i="3" s="1"/>
  <c r="Z17" i="3" s="1"/>
  <c r="Z16" i="3" s="1"/>
  <c r="Z15" i="3" s="1"/>
  <c r="Z14" i="3" s="1"/>
  <c r="Z13" i="3" s="1"/>
  <c r="Z12" i="3" s="1"/>
  <c r="Z11" i="3" s="1"/>
  <c r="Z10" i="3" s="1"/>
  <c r="Z9" i="3" s="1"/>
  <c r="Z8" i="3" s="1"/>
  <c r="Z7" i="3" s="1"/>
  <c r="Z6" i="3" s="1"/>
  <c r="Z5" i="3" s="1"/>
  <c r="Z4" i="3" s="1"/>
  <c r="Z3" i="3" s="1"/>
  <c r="U31" i="3"/>
  <c r="U30" i="3" s="1"/>
  <c r="U29" i="3" s="1"/>
  <c r="U28" i="3" s="1"/>
  <c r="U27" i="3" s="1"/>
  <c r="U26" i="3" s="1"/>
  <c r="U25" i="3" s="1"/>
  <c r="U24" i="3" s="1"/>
  <c r="U23" i="3" s="1"/>
  <c r="U22" i="3" s="1"/>
  <c r="U21" i="3" s="1"/>
  <c r="U20" i="3" s="1"/>
  <c r="U19" i="3" s="1"/>
  <c r="U18" i="3" s="1"/>
  <c r="U17" i="3" s="1"/>
  <c r="U16" i="3" s="1"/>
  <c r="U15" i="3" s="1"/>
  <c r="U14" i="3" s="1"/>
  <c r="U13" i="3" s="1"/>
  <c r="U12" i="3" s="1"/>
  <c r="U11" i="3" s="1"/>
  <c r="U10" i="3" s="1"/>
  <c r="U9" i="3" s="1"/>
  <c r="U8" i="3" s="1"/>
  <c r="U7" i="3" s="1"/>
  <c r="U6" i="3" s="1"/>
  <c r="U5" i="3" s="1"/>
  <c r="U4" i="3" s="1"/>
  <c r="U3" i="3" s="1"/>
  <c r="Y32" i="3"/>
  <c r="Y31" i="3" s="1"/>
  <c r="Y30" i="3" s="1"/>
  <c r="Y29" i="3" s="1"/>
  <c r="Y28" i="3" s="1"/>
  <c r="Y27" i="3" s="1"/>
  <c r="Y26" i="3" s="1"/>
  <c r="Y25" i="3" s="1"/>
  <c r="Y24" i="3" s="1"/>
  <c r="Y23" i="3" s="1"/>
  <c r="Y22" i="3" s="1"/>
  <c r="Y21" i="3" s="1"/>
  <c r="Y20" i="3" s="1"/>
  <c r="Y19" i="3" s="1"/>
  <c r="Y18" i="3" s="1"/>
  <c r="Y17" i="3" s="1"/>
  <c r="Y16" i="3" s="1"/>
  <c r="Y15" i="3" s="1"/>
  <c r="Y14" i="3" s="1"/>
  <c r="Y13" i="3" s="1"/>
  <c r="Y12" i="3" s="1"/>
  <c r="Y11" i="3" s="1"/>
  <c r="Y10" i="3" s="1"/>
  <c r="Y9" i="3" s="1"/>
  <c r="Y8" i="3" s="1"/>
  <c r="Y7" i="3" s="1"/>
  <c r="Y6" i="3" s="1"/>
  <c r="Y5" i="3" s="1"/>
  <c r="Y4" i="3" s="1"/>
  <c r="Y3" i="3" s="1"/>
  <c r="R30" i="3"/>
  <c r="R29" i="3" s="1"/>
  <c r="R28" i="3" s="1"/>
  <c r="R27" i="3" s="1"/>
  <c r="R26" i="3" s="1"/>
  <c r="R25" i="3" s="1"/>
  <c r="R24" i="3" s="1"/>
  <c r="R23" i="3" s="1"/>
  <c r="R22" i="3" s="1"/>
  <c r="R21" i="3" s="1"/>
  <c r="R20" i="3" s="1"/>
  <c r="R19" i="3" s="1"/>
  <c r="R18" i="3" s="1"/>
  <c r="R17" i="3" s="1"/>
  <c r="R16" i="3" s="1"/>
  <c r="R15" i="3" s="1"/>
  <c r="R14" i="3" s="1"/>
  <c r="R13" i="3" s="1"/>
  <c r="R12" i="3" s="1"/>
  <c r="R11" i="3" s="1"/>
  <c r="R10" i="3" s="1"/>
  <c r="R9" i="3" s="1"/>
  <c r="R8" i="3" s="1"/>
  <c r="R7" i="3" s="1"/>
  <c r="R6" i="3" s="1"/>
  <c r="R5" i="3" s="1"/>
  <c r="R4" i="3" s="1"/>
  <c r="R3" i="3" s="1"/>
  <c r="T32" i="3"/>
  <c r="T31" i="3" s="1"/>
  <c r="T30" i="3" s="1"/>
  <c r="T29" i="3" s="1"/>
  <c r="T28" i="3" s="1"/>
  <c r="T27" i="3" s="1"/>
  <c r="T26" i="3" s="1"/>
  <c r="T25" i="3" s="1"/>
  <c r="T24" i="3" s="1"/>
  <c r="T23" i="3" s="1"/>
  <c r="T22" i="3" s="1"/>
  <c r="T21" i="3" s="1"/>
  <c r="T20" i="3" s="1"/>
  <c r="T19" i="3" s="1"/>
  <c r="T18" i="3" s="1"/>
  <c r="T17" i="3" s="1"/>
  <c r="T16" i="3" s="1"/>
  <c r="T15" i="3" s="1"/>
  <c r="T14" i="3" s="1"/>
  <c r="T13" i="3" s="1"/>
  <c r="T12" i="3" s="1"/>
  <c r="T11" i="3" s="1"/>
  <c r="T10" i="3" s="1"/>
  <c r="T9" i="3" s="1"/>
  <c r="T8" i="3" s="1"/>
  <c r="T7" i="3" s="1"/>
  <c r="T6" i="3" s="1"/>
  <c r="T5" i="3" s="1"/>
  <c r="T4" i="3" s="1"/>
  <c r="T3" i="3" s="1"/>
  <c r="Q31" i="3"/>
  <c r="Q30" i="3" s="1"/>
  <c r="Q29" i="3" s="1"/>
  <c r="Q28" i="3" s="1"/>
  <c r="Q27" i="3" s="1"/>
  <c r="Q26" i="3" s="1"/>
  <c r="Q25" i="3" s="1"/>
  <c r="Q24" i="3" s="1"/>
  <c r="Q23" i="3" s="1"/>
  <c r="Q22" i="3" s="1"/>
  <c r="Q21" i="3" s="1"/>
  <c r="Q20" i="3" s="1"/>
  <c r="Q19" i="3" s="1"/>
  <c r="Q18" i="3" s="1"/>
  <c r="Q17" i="3" s="1"/>
  <c r="Q16" i="3" s="1"/>
  <c r="Q15" i="3" s="1"/>
  <c r="Q14" i="3" s="1"/>
  <c r="Q13" i="3" s="1"/>
  <c r="Q12" i="3" s="1"/>
  <c r="Q11" i="3" s="1"/>
  <c r="Q10" i="3" s="1"/>
  <c r="Q9" i="3" s="1"/>
  <c r="Q8" i="3" s="1"/>
  <c r="Q7" i="3" s="1"/>
  <c r="Q6" i="3" s="1"/>
  <c r="Q5" i="3" s="1"/>
  <c r="Q4" i="3" s="1"/>
  <c r="Q3" i="3" s="1"/>
  <c r="U17" i="1" l="1"/>
  <c r="Q17" i="1"/>
  <c r="M17" i="1"/>
  <c r="I17" i="1"/>
  <c r="E17" i="1"/>
  <c r="U3" i="1"/>
  <c r="U4" i="1" s="1"/>
  <c r="U5" i="1" s="1"/>
  <c r="U6" i="1" s="1"/>
  <c r="Q3" i="1"/>
  <c r="Q4" i="1" s="1"/>
  <c r="Q5" i="1" s="1"/>
  <c r="Q6" i="1" s="1"/>
  <c r="M3" i="1"/>
  <c r="M4" i="1" s="1"/>
  <c r="M5" i="1" s="1"/>
  <c r="M6" i="1" s="1"/>
  <c r="M7" i="1" s="1"/>
  <c r="M14" i="1" s="1"/>
  <c r="I3" i="1"/>
  <c r="I4" i="1" s="1"/>
  <c r="I5" i="1" s="1"/>
  <c r="I6" i="1" s="1"/>
  <c r="I7" i="1" s="1"/>
  <c r="I14" i="1" s="1"/>
  <c r="E3" i="1"/>
  <c r="E4" i="1" s="1"/>
  <c r="E5" i="1" s="1"/>
  <c r="E6" i="1" s="1"/>
  <c r="A3" i="1"/>
  <c r="A4" i="1" s="1"/>
  <c r="A5" i="1" s="1"/>
  <c r="A6" i="1" s="1"/>
  <c r="A12" i="1" s="1"/>
  <c r="I15" i="1" l="1"/>
  <c r="A8" i="1"/>
  <c r="A18" i="1"/>
  <c r="A19" i="1" s="1"/>
  <c r="A20" i="1" s="1"/>
  <c r="A21" i="1" s="1"/>
  <c r="A22" i="1" s="1"/>
  <c r="A23" i="1" s="1"/>
  <c r="M12" i="1"/>
  <c r="M18" i="1" s="1"/>
  <c r="M19" i="1" s="1"/>
  <c r="M20" i="1" s="1"/>
  <c r="M21" i="1" s="1"/>
  <c r="M22" i="1" s="1"/>
  <c r="M23" i="1" s="1"/>
  <c r="M8" i="1"/>
  <c r="U12" i="1"/>
  <c r="U18" i="1" s="1"/>
  <c r="U19" i="1" s="1"/>
  <c r="U20" i="1" s="1"/>
  <c r="U21" i="1" s="1"/>
  <c r="U22" i="1" s="1"/>
  <c r="U23" i="1" s="1"/>
  <c r="U8" i="1"/>
  <c r="Q8" i="1"/>
  <c r="Q12" i="1"/>
  <c r="Q18" i="1" s="1"/>
  <c r="Q19" i="1" s="1"/>
  <c r="Q20" i="1" s="1"/>
  <c r="Q21" i="1" s="1"/>
  <c r="Q22" i="1" s="1"/>
  <c r="Q23" i="1" s="1"/>
  <c r="I12" i="1"/>
  <c r="I18" i="1" s="1"/>
  <c r="I19" i="1" s="1"/>
  <c r="I20" i="1" s="1"/>
  <c r="I21" i="1" s="1"/>
  <c r="I22" i="1" s="1"/>
  <c r="I23" i="1" s="1"/>
  <c r="I8" i="1"/>
  <c r="E12" i="1"/>
  <c r="E18" i="1" s="1"/>
  <c r="E19" i="1" s="1"/>
  <c r="E20" i="1" s="1"/>
  <c r="E21" i="1" s="1"/>
  <c r="E22" i="1" s="1"/>
  <c r="E23" i="1" s="1"/>
  <c r="E8" i="1"/>
  <c r="U9" i="1" l="1"/>
  <c r="U11" i="1"/>
  <c r="Q11" i="1"/>
  <c r="Q9" i="1"/>
  <c r="M9" i="1"/>
  <c r="M11" i="1"/>
  <c r="I9" i="1"/>
  <c r="I11" i="1"/>
  <c r="E9" i="1"/>
  <c r="E11" i="1"/>
  <c r="A11" i="1"/>
  <c r="A9" i="1"/>
</calcChain>
</file>

<file path=xl/sharedStrings.xml><?xml version="1.0" encoding="utf-8"?>
<sst xmlns="http://schemas.openxmlformats.org/spreadsheetml/2006/main" count="78" uniqueCount="34">
  <si>
    <t>volume in meters 3</t>
  </si>
  <si>
    <t>Radius in meters</t>
  </si>
  <si>
    <t>Radius in cm</t>
  </si>
  <si>
    <t>Radius in inches</t>
  </si>
  <si>
    <t>Radius in feet</t>
  </si>
  <si>
    <t>area in sq in</t>
  </si>
  <si>
    <t>area in sq cm</t>
  </si>
  <si>
    <t>volume in cm</t>
  </si>
  <si>
    <t>area in sq inches</t>
  </si>
  <si>
    <t>Cd</t>
  </si>
  <si>
    <t>velocity m/sec</t>
  </si>
  <si>
    <t>velocity in ft/sec</t>
  </si>
  <si>
    <t>velocity in mph</t>
  </si>
  <si>
    <t>W*g=1/2rho*V2*S*Cd</t>
  </si>
  <si>
    <t>volume in cm3</t>
  </si>
  <si>
    <t>Weight gm</t>
  </si>
  <si>
    <t>Radius in Cm</t>
  </si>
  <si>
    <t>density gm/cm^3</t>
  </si>
  <si>
    <t>Height</t>
  </si>
  <si>
    <t>gravity</t>
  </si>
  <si>
    <t>air density</t>
  </si>
  <si>
    <t>Weight (gm) Density=2.2</t>
  </si>
  <si>
    <t>Weight (gm) Density=3.4</t>
  </si>
  <si>
    <t>Weight (gm) Density=7.0</t>
  </si>
  <si>
    <t>Time to Fall</t>
  </si>
  <si>
    <t>Speed</t>
  </si>
  <si>
    <t>Entry alt</t>
  </si>
  <si>
    <t>End alt</t>
  </si>
  <si>
    <t>Brightness</t>
  </si>
  <si>
    <t>Date</t>
  </si>
  <si>
    <t>volume in cm 3</t>
  </si>
  <si>
    <t>Diameter in CM</t>
  </si>
  <si>
    <t>N*D^6</t>
  </si>
  <si>
    <t>D^6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</si>
</sst>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0" xfId="0" applyFill="1"/>
    <xf numFmtId="16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 vs Velocity</c:v>
          </c:tx>
          <c:spPr>
            <a:ln w="28575">
              <a:noFill/>
            </a:ln>
          </c:spPr>
          <c:xVal>
            <c:numRef>
              <c:f>'2013 Meteors'!$B$2:$B$294</c:f>
              <c:numCache>
                <c:formatCode>General</c:formatCode>
                <c:ptCount val="293"/>
                <c:pt idx="0">
                  <c:v>43.9</c:v>
                </c:pt>
                <c:pt idx="1">
                  <c:v>27.2</c:v>
                </c:pt>
                <c:pt idx="2">
                  <c:v>22.7</c:v>
                </c:pt>
                <c:pt idx="3">
                  <c:v>56.2</c:v>
                </c:pt>
                <c:pt idx="4">
                  <c:v>29</c:v>
                </c:pt>
                <c:pt idx="5">
                  <c:v>41</c:v>
                </c:pt>
                <c:pt idx="6">
                  <c:v>46.7</c:v>
                </c:pt>
                <c:pt idx="7">
                  <c:v>26.7</c:v>
                </c:pt>
                <c:pt idx="8">
                  <c:v>40.9</c:v>
                </c:pt>
                <c:pt idx="9">
                  <c:v>38.4</c:v>
                </c:pt>
                <c:pt idx="10">
                  <c:v>40.9</c:v>
                </c:pt>
                <c:pt idx="11">
                  <c:v>37.700000000000003</c:v>
                </c:pt>
                <c:pt idx="12">
                  <c:v>63.2</c:v>
                </c:pt>
                <c:pt idx="13">
                  <c:v>99.7</c:v>
                </c:pt>
                <c:pt idx="14">
                  <c:v>42.3</c:v>
                </c:pt>
                <c:pt idx="15">
                  <c:v>72.400000000000006</c:v>
                </c:pt>
                <c:pt idx="16">
                  <c:v>51.8</c:v>
                </c:pt>
                <c:pt idx="17">
                  <c:v>66.900000000000006</c:v>
                </c:pt>
                <c:pt idx="18">
                  <c:v>40.4</c:v>
                </c:pt>
                <c:pt idx="19">
                  <c:v>38.6</c:v>
                </c:pt>
                <c:pt idx="20">
                  <c:v>54.9</c:v>
                </c:pt>
                <c:pt idx="21">
                  <c:v>52.8</c:v>
                </c:pt>
                <c:pt idx="22">
                  <c:v>65.900000000000006</c:v>
                </c:pt>
                <c:pt idx="23">
                  <c:v>28.2</c:v>
                </c:pt>
                <c:pt idx="24">
                  <c:v>41.4</c:v>
                </c:pt>
                <c:pt idx="25">
                  <c:v>46.4</c:v>
                </c:pt>
                <c:pt idx="26">
                  <c:v>59.6</c:v>
                </c:pt>
                <c:pt idx="27">
                  <c:v>63.3</c:v>
                </c:pt>
                <c:pt idx="28">
                  <c:v>59</c:v>
                </c:pt>
                <c:pt idx="29">
                  <c:v>41.5</c:v>
                </c:pt>
                <c:pt idx="30">
                  <c:v>92.9</c:v>
                </c:pt>
                <c:pt idx="31">
                  <c:v>65.5</c:v>
                </c:pt>
                <c:pt idx="32">
                  <c:v>61.6</c:v>
                </c:pt>
                <c:pt idx="33">
                  <c:v>19.2</c:v>
                </c:pt>
                <c:pt idx="34">
                  <c:v>30.9</c:v>
                </c:pt>
                <c:pt idx="35">
                  <c:v>30.2</c:v>
                </c:pt>
                <c:pt idx="36">
                  <c:v>50.3</c:v>
                </c:pt>
                <c:pt idx="37">
                  <c:v>51.8</c:v>
                </c:pt>
                <c:pt idx="38">
                  <c:v>96</c:v>
                </c:pt>
                <c:pt idx="39">
                  <c:v>68.5</c:v>
                </c:pt>
                <c:pt idx="40">
                  <c:v>49.3</c:v>
                </c:pt>
                <c:pt idx="41">
                  <c:v>62.5</c:v>
                </c:pt>
                <c:pt idx="42">
                  <c:v>52.6</c:v>
                </c:pt>
                <c:pt idx="43">
                  <c:v>52.6</c:v>
                </c:pt>
                <c:pt idx="44">
                  <c:v>58.3</c:v>
                </c:pt>
                <c:pt idx="45">
                  <c:v>24.8</c:v>
                </c:pt>
                <c:pt idx="46">
                  <c:v>52.3</c:v>
                </c:pt>
                <c:pt idx="47">
                  <c:v>40.700000000000003</c:v>
                </c:pt>
                <c:pt idx="48">
                  <c:v>70</c:v>
                </c:pt>
                <c:pt idx="49">
                  <c:v>24.7</c:v>
                </c:pt>
                <c:pt idx="50">
                  <c:v>58.4</c:v>
                </c:pt>
                <c:pt idx="51">
                  <c:v>38.799999999999997</c:v>
                </c:pt>
                <c:pt idx="52">
                  <c:v>67</c:v>
                </c:pt>
                <c:pt idx="53">
                  <c:v>58.2</c:v>
                </c:pt>
                <c:pt idx="54">
                  <c:v>73.3</c:v>
                </c:pt>
                <c:pt idx="55">
                  <c:v>62.7</c:v>
                </c:pt>
                <c:pt idx="56">
                  <c:v>71.099999999999994</c:v>
                </c:pt>
                <c:pt idx="57">
                  <c:v>28.2</c:v>
                </c:pt>
                <c:pt idx="58">
                  <c:v>20.5</c:v>
                </c:pt>
                <c:pt idx="59">
                  <c:v>37.5</c:v>
                </c:pt>
                <c:pt idx="60">
                  <c:v>46.6</c:v>
                </c:pt>
                <c:pt idx="61">
                  <c:v>66.599999999999994</c:v>
                </c:pt>
                <c:pt idx="62">
                  <c:v>68.900000000000006</c:v>
                </c:pt>
                <c:pt idx="63">
                  <c:v>47.2</c:v>
                </c:pt>
                <c:pt idx="64">
                  <c:v>67.8</c:v>
                </c:pt>
                <c:pt idx="65">
                  <c:v>16.3</c:v>
                </c:pt>
                <c:pt idx="66">
                  <c:v>62.7</c:v>
                </c:pt>
                <c:pt idx="67">
                  <c:v>15</c:v>
                </c:pt>
                <c:pt idx="68">
                  <c:v>69.599999999999994</c:v>
                </c:pt>
                <c:pt idx="69">
                  <c:v>67</c:v>
                </c:pt>
                <c:pt idx="70">
                  <c:v>46.8</c:v>
                </c:pt>
                <c:pt idx="71">
                  <c:v>56</c:v>
                </c:pt>
                <c:pt idx="72">
                  <c:v>27.1</c:v>
                </c:pt>
                <c:pt idx="73">
                  <c:v>62.7</c:v>
                </c:pt>
                <c:pt idx="74">
                  <c:v>66.900000000000006</c:v>
                </c:pt>
                <c:pt idx="75">
                  <c:v>65.5</c:v>
                </c:pt>
                <c:pt idx="76">
                  <c:v>42.6</c:v>
                </c:pt>
                <c:pt idx="77">
                  <c:v>67</c:v>
                </c:pt>
                <c:pt idx="78">
                  <c:v>39.4</c:v>
                </c:pt>
                <c:pt idx="79">
                  <c:v>30.6</c:v>
                </c:pt>
                <c:pt idx="80">
                  <c:v>16.3</c:v>
                </c:pt>
                <c:pt idx="81">
                  <c:v>33.700000000000003</c:v>
                </c:pt>
                <c:pt idx="82">
                  <c:v>53.7</c:v>
                </c:pt>
                <c:pt idx="83">
                  <c:v>66</c:v>
                </c:pt>
                <c:pt idx="84">
                  <c:v>63.4</c:v>
                </c:pt>
                <c:pt idx="85">
                  <c:v>58</c:v>
                </c:pt>
                <c:pt idx="86">
                  <c:v>69.7</c:v>
                </c:pt>
                <c:pt idx="87">
                  <c:v>16.8</c:v>
                </c:pt>
                <c:pt idx="88">
                  <c:v>39.6</c:v>
                </c:pt>
                <c:pt idx="89">
                  <c:v>35.1</c:v>
                </c:pt>
                <c:pt idx="90">
                  <c:v>70.900000000000006</c:v>
                </c:pt>
                <c:pt idx="91">
                  <c:v>29.9</c:v>
                </c:pt>
                <c:pt idx="92">
                  <c:v>27.4</c:v>
                </c:pt>
                <c:pt idx="93">
                  <c:v>41.6</c:v>
                </c:pt>
                <c:pt idx="94">
                  <c:v>76.400000000000006</c:v>
                </c:pt>
                <c:pt idx="95">
                  <c:v>67.8</c:v>
                </c:pt>
                <c:pt idx="96">
                  <c:v>32.6</c:v>
                </c:pt>
                <c:pt idx="97">
                  <c:v>57.1</c:v>
                </c:pt>
                <c:pt idx="98">
                  <c:v>53.2</c:v>
                </c:pt>
                <c:pt idx="99">
                  <c:v>58.9</c:v>
                </c:pt>
                <c:pt idx="100">
                  <c:v>46</c:v>
                </c:pt>
                <c:pt idx="101">
                  <c:v>45.9</c:v>
                </c:pt>
                <c:pt idx="102">
                  <c:v>58.1</c:v>
                </c:pt>
                <c:pt idx="103">
                  <c:v>56.7</c:v>
                </c:pt>
                <c:pt idx="104">
                  <c:v>56.7</c:v>
                </c:pt>
                <c:pt idx="105">
                  <c:v>70.5</c:v>
                </c:pt>
                <c:pt idx="106">
                  <c:v>54.9</c:v>
                </c:pt>
                <c:pt idx="107">
                  <c:v>66</c:v>
                </c:pt>
                <c:pt idx="108">
                  <c:v>65.599999999999994</c:v>
                </c:pt>
                <c:pt idx="109">
                  <c:v>24.7</c:v>
                </c:pt>
                <c:pt idx="110">
                  <c:v>68.2</c:v>
                </c:pt>
                <c:pt idx="111">
                  <c:v>21.8</c:v>
                </c:pt>
                <c:pt idx="112">
                  <c:v>24.1</c:v>
                </c:pt>
                <c:pt idx="113">
                  <c:v>62.9</c:v>
                </c:pt>
                <c:pt idx="114">
                  <c:v>66</c:v>
                </c:pt>
                <c:pt idx="115">
                  <c:v>62.8</c:v>
                </c:pt>
                <c:pt idx="116">
                  <c:v>73.599999999999994</c:v>
                </c:pt>
                <c:pt idx="117">
                  <c:v>39.200000000000003</c:v>
                </c:pt>
                <c:pt idx="118">
                  <c:v>37</c:v>
                </c:pt>
                <c:pt idx="119">
                  <c:v>40.799999999999997</c:v>
                </c:pt>
                <c:pt idx="120">
                  <c:v>46.1</c:v>
                </c:pt>
                <c:pt idx="121">
                  <c:v>59.6</c:v>
                </c:pt>
                <c:pt idx="122">
                  <c:v>64.599999999999994</c:v>
                </c:pt>
                <c:pt idx="123">
                  <c:v>62.2</c:v>
                </c:pt>
                <c:pt idx="124">
                  <c:v>62.8</c:v>
                </c:pt>
                <c:pt idx="125">
                  <c:v>66.599999999999994</c:v>
                </c:pt>
                <c:pt idx="126">
                  <c:v>64.7</c:v>
                </c:pt>
                <c:pt idx="127">
                  <c:v>24.9</c:v>
                </c:pt>
                <c:pt idx="128">
                  <c:v>66.599999999999994</c:v>
                </c:pt>
                <c:pt idx="129">
                  <c:v>24.7</c:v>
                </c:pt>
                <c:pt idx="130">
                  <c:v>26.7</c:v>
                </c:pt>
                <c:pt idx="131">
                  <c:v>15.5</c:v>
                </c:pt>
                <c:pt idx="132">
                  <c:v>27.4</c:v>
                </c:pt>
                <c:pt idx="133">
                  <c:v>42.9</c:v>
                </c:pt>
                <c:pt idx="134">
                  <c:v>20</c:v>
                </c:pt>
                <c:pt idx="135">
                  <c:v>69.599999999999994</c:v>
                </c:pt>
                <c:pt idx="136">
                  <c:v>62.5</c:v>
                </c:pt>
                <c:pt idx="137">
                  <c:v>20</c:v>
                </c:pt>
                <c:pt idx="138">
                  <c:v>64.400000000000006</c:v>
                </c:pt>
                <c:pt idx="139">
                  <c:v>73.400000000000006</c:v>
                </c:pt>
                <c:pt idx="140">
                  <c:v>69.7</c:v>
                </c:pt>
                <c:pt idx="141">
                  <c:v>43.5</c:v>
                </c:pt>
                <c:pt idx="142">
                  <c:v>74.900000000000006</c:v>
                </c:pt>
                <c:pt idx="143">
                  <c:v>15.6</c:v>
                </c:pt>
                <c:pt idx="144">
                  <c:v>30.6</c:v>
                </c:pt>
                <c:pt idx="145">
                  <c:v>69.099999999999994</c:v>
                </c:pt>
                <c:pt idx="146">
                  <c:v>42.6</c:v>
                </c:pt>
                <c:pt idx="147">
                  <c:v>46.6</c:v>
                </c:pt>
                <c:pt idx="148">
                  <c:v>66</c:v>
                </c:pt>
                <c:pt idx="149">
                  <c:v>13.1</c:v>
                </c:pt>
                <c:pt idx="150">
                  <c:v>25.2</c:v>
                </c:pt>
                <c:pt idx="151">
                  <c:v>71.099999999999994</c:v>
                </c:pt>
                <c:pt idx="152">
                  <c:v>47</c:v>
                </c:pt>
                <c:pt idx="153">
                  <c:v>44.1</c:v>
                </c:pt>
                <c:pt idx="154">
                  <c:v>64</c:v>
                </c:pt>
                <c:pt idx="155">
                  <c:v>67.7</c:v>
                </c:pt>
                <c:pt idx="156">
                  <c:v>57.1</c:v>
                </c:pt>
                <c:pt idx="157">
                  <c:v>33.1</c:v>
                </c:pt>
                <c:pt idx="158">
                  <c:v>64.400000000000006</c:v>
                </c:pt>
                <c:pt idx="159">
                  <c:v>58.6</c:v>
                </c:pt>
                <c:pt idx="160">
                  <c:v>90</c:v>
                </c:pt>
                <c:pt idx="161">
                  <c:v>56.6</c:v>
                </c:pt>
                <c:pt idx="162">
                  <c:v>44</c:v>
                </c:pt>
                <c:pt idx="163">
                  <c:v>26.8</c:v>
                </c:pt>
                <c:pt idx="164">
                  <c:v>64.900000000000006</c:v>
                </c:pt>
                <c:pt idx="165">
                  <c:v>67.7</c:v>
                </c:pt>
                <c:pt idx="166">
                  <c:v>71.400000000000006</c:v>
                </c:pt>
                <c:pt idx="167">
                  <c:v>68.400000000000006</c:v>
                </c:pt>
                <c:pt idx="168">
                  <c:v>39.299999999999997</c:v>
                </c:pt>
                <c:pt idx="169">
                  <c:v>69.2</c:v>
                </c:pt>
                <c:pt idx="170">
                  <c:v>67.099999999999994</c:v>
                </c:pt>
                <c:pt idx="171">
                  <c:v>49.9</c:v>
                </c:pt>
                <c:pt idx="172">
                  <c:v>31</c:v>
                </c:pt>
                <c:pt idx="173">
                  <c:v>21.4</c:v>
                </c:pt>
                <c:pt idx="174">
                  <c:v>21.7</c:v>
                </c:pt>
                <c:pt idx="175">
                  <c:v>54.2</c:v>
                </c:pt>
                <c:pt idx="176">
                  <c:v>19.3</c:v>
                </c:pt>
                <c:pt idx="177">
                  <c:v>19.2</c:v>
                </c:pt>
                <c:pt idx="178">
                  <c:v>44.1</c:v>
                </c:pt>
                <c:pt idx="179">
                  <c:v>66.8</c:v>
                </c:pt>
                <c:pt idx="180">
                  <c:v>45.4</c:v>
                </c:pt>
                <c:pt idx="181">
                  <c:v>19.399999999999999</c:v>
                </c:pt>
                <c:pt idx="182">
                  <c:v>17</c:v>
                </c:pt>
                <c:pt idx="183">
                  <c:v>37.1</c:v>
                </c:pt>
                <c:pt idx="184">
                  <c:v>29.4</c:v>
                </c:pt>
                <c:pt idx="185">
                  <c:v>25</c:v>
                </c:pt>
                <c:pt idx="186">
                  <c:v>34.799999999999997</c:v>
                </c:pt>
                <c:pt idx="187">
                  <c:v>17.7</c:v>
                </c:pt>
                <c:pt idx="188">
                  <c:v>24.6</c:v>
                </c:pt>
                <c:pt idx="189">
                  <c:v>28.6</c:v>
                </c:pt>
                <c:pt idx="190">
                  <c:v>38</c:v>
                </c:pt>
                <c:pt idx="191">
                  <c:v>35.5</c:v>
                </c:pt>
                <c:pt idx="192">
                  <c:v>30.3</c:v>
                </c:pt>
                <c:pt idx="193">
                  <c:v>72.5</c:v>
                </c:pt>
                <c:pt idx="194">
                  <c:v>40.799999999999997</c:v>
                </c:pt>
                <c:pt idx="195">
                  <c:v>69.900000000000006</c:v>
                </c:pt>
                <c:pt idx="196">
                  <c:v>44.9</c:v>
                </c:pt>
                <c:pt idx="197">
                  <c:v>52.3</c:v>
                </c:pt>
                <c:pt idx="198">
                  <c:v>69.2</c:v>
                </c:pt>
                <c:pt idx="199">
                  <c:v>74.7</c:v>
                </c:pt>
                <c:pt idx="200">
                  <c:v>66.900000000000006</c:v>
                </c:pt>
                <c:pt idx="201">
                  <c:v>40.799999999999997</c:v>
                </c:pt>
                <c:pt idx="202">
                  <c:v>60.3</c:v>
                </c:pt>
                <c:pt idx="203">
                  <c:v>64.7</c:v>
                </c:pt>
                <c:pt idx="204">
                  <c:v>33.6</c:v>
                </c:pt>
                <c:pt idx="205">
                  <c:v>64.2</c:v>
                </c:pt>
                <c:pt idx="206">
                  <c:v>22.2</c:v>
                </c:pt>
                <c:pt idx="207">
                  <c:v>39.799999999999997</c:v>
                </c:pt>
                <c:pt idx="208">
                  <c:v>59.2</c:v>
                </c:pt>
                <c:pt idx="209">
                  <c:v>68.599999999999994</c:v>
                </c:pt>
                <c:pt idx="210">
                  <c:v>29.3</c:v>
                </c:pt>
                <c:pt idx="211">
                  <c:v>58.3</c:v>
                </c:pt>
                <c:pt idx="212">
                  <c:v>25.3</c:v>
                </c:pt>
                <c:pt idx="213">
                  <c:v>62.5</c:v>
                </c:pt>
                <c:pt idx="214">
                  <c:v>64.099999999999994</c:v>
                </c:pt>
                <c:pt idx="215">
                  <c:v>27.1</c:v>
                </c:pt>
                <c:pt idx="216">
                  <c:v>67.2</c:v>
                </c:pt>
                <c:pt idx="217">
                  <c:v>19.7</c:v>
                </c:pt>
                <c:pt idx="218">
                  <c:v>63.8</c:v>
                </c:pt>
                <c:pt idx="219">
                  <c:v>38.5</c:v>
                </c:pt>
                <c:pt idx="220">
                  <c:v>58.6</c:v>
                </c:pt>
                <c:pt idx="221">
                  <c:v>33.1</c:v>
                </c:pt>
                <c:pt idx="222">
                  <c:v>19.5</c:v>
                </c:pt>
                <c:pt idx="223">
                  <c:v>19.100000000000001</c:v>
                </c:pt>
                <c:pt idx="224">
                  <c:v>62.1</c:v>
                </c:pt>
                <c:pt idx="225">
                  <c:v>55.7</c:v>
                </c:pt>
                <c:pt idx="226">
                  <c:v>54.5</c:v>
                </c:pt>
                <c:pt idx="227">
                  <c:v>58.8</c:v>
                </c:pt>
                <c:pt idx="228">
                  <c:v>59.1</c:v>
                </c:pt>
                <c:pt idx="229">
                  <c:v>21.1</c:v>
                </c:pt>
                <c:pt idx="230">
                  <c:v>27</c:v>
                </c:pt>
                <c:pt idx="231">
                  <c:v>53.4</c:v>
                </c:pt>
                <c:pt idx="232">
                  <c:v>18.2</c:v>
                </c:pt>
                <c:pt idx="233">
                  <c:v>46.2</c:v>
                </c:pt>
                <c:pt idx="234">
                  <c:v>50</c:v>
                </c:pt>
                <c:pt idx="235">
                  <c:v>30.1</c:v>
                </c:pt>
                <c:pt idx="236">
                  <c:v>60.9</c:v>
                </c:pt>
                <c:pt idx="237">
                  <c:v>45.8</c:v>
                </c:pt>
                <c:pt idx="238">
                  <c:v>17.5</c:v>
                </c:pt>
                <c:pt idx="239">
                  <c:v>22.1</c:v>
                </c:pt>
                <c:pt idx="240">
                  <c:v>67.3</c:v>
                </c:pt>
                <c:pt idx="241">
                  <c:v>27.5</c:v>
                </c:pt>
                <c:pt idx="242">
                  <c:v>47.7</c:v>
                </c:pt>
                <c:pt idx="243">
                  <c:v>68.5</c:v>
                </c:pt>
                <c:pt idx="244">
                  <c:v>31</c:v>
                </c:pt>
                <c:pt idx="245">
                  <c:v>32.9</c:v>
                </c:pt>
                <c:pt idx="246">
                  <c:v>14.8</c:v>
                </c:pt>
                <c:pt idx="247">
                  <c:v>30</c:v>
                </c:pt>
                <c:pt idx="248">
                  <c:v>22.2</c:v>
                </c:pt>
                <c:pt idx="249">
                  <c:v>29.2</c:v>
                </c:pt>
                <c:pt idx="250">
                  <c:v>57.9</c:v>
                </c:pt>
                <c:pt idx="251">
                  <c:v>68.8</c:v>
                </c:pt>
                <c:pt idx="252">
                  <c:v>68.599999999999994</c:v>
                </c:pt>
                <c:pt idx="253">
                  <c:v>27.9</c:v>
                </c:pt>
                <c:pt idx="254">
                  <c:v>38.700000000000003</c:v>
                </c:pt>
                <c:pt idx="255">
                  <c:v>29.2</c:v>
                </c:pt>
                <c:pt idx="256">
                  <c:v>30.8</c:v>
                </c:pt>
                <c:pt idx="257">
                  <c:v>29.6</c:v>
                </c:pt>
                <c:pt idx="258">
                  <c:v>31.5</c:v>
                </c:pt>
                <c:pt idx="259">
                  <c:v>58.4</c:v>
                </c:pt>
                <c:pt idx="260">
                  <c:v>68.900000000000006</c:v>
                </c:pt>
                <c:pt idx="261">
                  <c:v>64.2</c:v>
                </c:pt>
                <c:pt idx="262">
                  <c:v>38.9</c:v>
                </c:pt>
                <c:pt idx="263">
                  <c:v>29.7</c:v>
                </c:pt>
                <c:pt idx="264">
                  <c:v>18.899999999999999</c:v>
                </c:pt>
                <c:pt idx="265">
                  <c:v>36.5</c:v>
                </c:pt>
                <c:pt idx="266">
                  <c:v>37.6</c:v>
                </c:pt>
                <c:pt idx="267">
                  <c:v>27.8</c:v>
                </c:pt>
                <c:pt idx="268">
                  <c:v>52.5</c:v>
                </c:pt>
                <c:pt idx="269">
                  <c:v>40.4</c:v>
                </c:pt>
                <c:pt idx="270">
                  <c:v>28</c:v>
                </c:pt>
                <c:pt idx="271">
                  <c:v>73</c:v>
                </c:pt>
                <c:pt idx="272">
                  <c:v>69.099999999999994</c:v>
                </c:pt>
                <c:pt idx="273">
                  <c:v>26.3</c:v>
                </c:pt>
                <c:pt idx="274">
                  <c:v>31.1</c:v>
                </c:pt>
                <c:pt idx="275">
                  <c:v>72.8</c:v>
                </c:pt>
                <c:pt idx="276">
                  <c:v>25.4</c:v>
                </c:pt>
                <c:pt idx="277">
                  <c:v>35.5</c:v>
                </c:pt>
                <c:pt idx="278">
                  <c:v>68.400000000000006</c:v>
                </c:pt>
                <c:pt idx="279">
                  <c:v>27.5</c:v>
                </c:pt>
                <c:pt idx="280">
                  <c:v>43.3</c:v>
                </c:pt>
                <c:pt idx="281">
                  <c:v>26.8</c:v>
                </c:pt>
                <c:pt idx="282">
                  <c:v>31.5</c:v>
                </c:pt>
                <c:pt idx="283">
                  <c:v>41.4</c:v>
                </c:pt>
                <c:pt idx="284">
                  <c:v>60.9</c:v>
                </c:pt>
                <c:pt idx="285">
                  <c:v>43.1</c:v>
                </c:pt>
                <c:pt idx="286">
                  <c:v>56.4</c:v>
                </c:pt>
                <c:pt idx="287">
                  <c:v>55.2</c:v>
                </c:pt>
                <c:pt idx="288">
                  <c:v>32.700000000000003</c:v>
                </c:pt>
                <c:pt idx="289">
                  <c:v>76.2</c:v>
                </c:pt>
                <c:pt idx="290">
                  <c:v>31.8</c:v>
                </c:pt>
                <c:pt idx="291">
                  <c:v>42.5</c:v>
                </c:pt>
                <c:pt idx="292">
                  <c:v>70.099999999999994</c:v>
                </c:pt>
              </c:numCache>
            </c:numRef>
          </c:xVal>
          <c:yVal>
            <c:numRef>
              <c:f>'2013 Meteors'!$C$2:$C$294</c:f>
              <c:numCache>
                <c:formatCode>General</c:formatCode>
                <c:ptCount val="293"/>
                <c:pt idx="0">
                  <c:v>109.6</c:v>
                </c:pt>
                <c:pt idx="1">
                  <c:v>72.7</c:v>
                </c:pt>
                <c:pt idx="2">
                  <c:v>89.5</c:v>
                </c:pt>
                <c:pt idx="3">
                  <c:v>99.5</c:v>
                </c:pt>
                <c:pt idx="4">
                  <c:v>94.9</c:v>
                </c:pt>
                <c:pt idx="5">
                  <c:v>99.1</c:v>
                </c:pt>
                <c:pt idx="6">
                  <c:v>101.7</c:v>
                </c:pt>
                <c:pt idx="7">
                  <c:v>93.9</c:v>
                </c:pt>
                <c:pt idx="8">
                  <c:v>96.5</c:v>
                </c:pt>
                <c:pt idx="9">
                  <c:v>93</c:v>
                </c:pt>
                <c:pt idx="10">
                  <c:v>97.7</c:v>
                </c:pt>
                <c:pt idx="11">
                  <c:v>91.3</c:v>
                </c:pt>
                <c:pt idx="12">
                  <c:v>93.5</c:v>
                </c:pt>
                <c:pt idx="13">
                  <c:v>115.6</c:v>
                </c:pt>
                <c:pt idx="14">
                  <c:v>86.8</c:v>
                </c:pt>
                <c:pt idx="15">
                  <c:v>109.3</c:v>
                </c:pt>
                <c:pt idx="16">
                  <c:v>106.2</c:v>
                </c:pt>
                <c:pt idx="17">
                  <c:v>109.4</c:v>
                </c:pt>
                <c:pt idx="18">
                  <c:v>91.9</c:v>
                </c:pt>
                <c:pt idx="19">
                  <c:v>90.6</c:v>
                </c:pt>
                <c:pt idx="20">
                  <c:v>107.9</c:v>
                </c:pt>
                <c:pt idx="21">
                  <c:v>93.2</c:v>
                </c:pt>
                <c:pt idx="22">
                  <c:v>101.7</c:v>
                </c:pt>
                <c:pt idx="23">
                  <c:v>82.4</c:v>
                </c:pt>
                <c:pt idx="24">
                  <c:v>91.5</c:v>
                </c:pt>
                <c:pt idx="25">
                  <c:v>102.7</c:v>
                </c:pt>
                <c:pt idx="26">
                  <c:v>111.4</c:v>
                </c:pt>
                <c:pt idx="27">
                  <c:v>106</c:v>
                </c:pt>
                <c:pt idx="28">
                  <c:v>110.4</c:v>
                </c:pt>
                <c:pt idx="29">
                  <c:v>99</c:v>
                </c:pt>
                <c:pt idx="30">
                  <c:v>85.2</c:v>
                </c:pt>
                <c:pt idx="31">
                  <c:v>100.2</c:v>
                </c:pt>
                <c:pt idx="32">
                  <c:v>108.7</c:v>
                </c:pt>
                <c:pt idx="33">
                  <c:v>90.7</c:v>
                </c:pt>
                <c:pt idx="34">
                  <c:v>87.7</c:v>
                </c:pt>
                <c:pt idx="35">
                  <c:v>100</c:v>
                </c:pt>
                <c:pt idx="36">
                  <c:v>95.8</c:v>
                </c:pt>
                <c:pt idx="37">
                  <c:v>104.6</c:v>
                </c:pt>
                <c:pt idx="38">
                  <c:v>127.5</c:v>
                </c:pt>
                <c:pt idx="39">
                  <c:v>102.1</c:v>
                </c:pt>
                <c:pt idx="40">
                  <c:v>102.8</c:v>
                </c:pt>
                <c:pt idx="41">
                  <c:v>106.3</c:v>
                </c:pt>
                <c:pt idx="42">
                  <c:v>105.9</c:v>
                </c:pt>
                <c:pt idx="43">
                  <c:v>94.9</c:v>
                </c:pt>
                <c:pt idx="44">
                  <c:v>110.3</c:v>
                </c:pt>
                <c:pt idx="45">
                  <c:v>96.9</c:v>
                </c:pt>
                <c:pt idx="46">
                  <c:v>92.4</c:v>
                </c:pt>
                <c:pt idx="47">
                  <c:v>93.5</c:v>
                </c:pt>
                <c:pt idx="48">
                  <c:v>106.9</c:v>
                </c:pt>
                <c:pt idx="49">
                  <c:v>97.9</c:v>
                </c:pt>
                <c:pt idx="50">
                  <c:v>103.6</c:v>
                </c:pt>
                <c:pt idx="51">
                  <c:v>99</c:v>
                </c:pt>
                <c:pt idx="52">
                  <c:v>108.9</c:v>
                </c:pt>
                <c:pt idx="53">
                  <c:v>103.1</c:v>
                </c:pt>
                <c:pt idx="54">
                  <c:v>105.2</c:v>
                </c:pt>
                <c:pt idx="55">
                  <c:v>106.7</c:v>
                </c:pt>
                <c:pt idx="56">
                  <c:v>108.1</c:v>
                </c:pt>
                <c:pt idx="57">
                  <c:v>86.3</c:v>
                </c:pt>
                <c:pt idx="58">
                  <c:v>82.6</c:v>
                </c:pt>
                <c:pt idx="59">
                  <c:v>93.1</c:v>
                </c:pt>
                <c:pt idx="60">
                  <c:v>96</c:v>
                </c:pt>
                <c:pt idx="61">
                  <c:v>104.6</c:v>
                </c:pt>
                <c:pt idx="62">
                  <c:v>93.3</c:v>
                </c:pt>
                <c:pt idx="63">
                  <c:v>107.9</c:v>
                </c:pt>
                <c:pt idx="64">
                  <c:v>99.2</c:v>
                </c:pt>
                <c:pt idx="65">
                  <c:v>77.3</c:v>
                </c:pt>
                <c:pt idx="66">
                  <c:v>109.9</c:v>
                </c:pt>
                <c:pt idx="67">
                  <c:v>83</c:v>
                </c:pt>
                <c:pt idx="68">
                  <c:v>110.9</c:v>
                </c:pt>
                <c:pt idx="69">
                  <c:v>110.3</c:v>
                </c:pt>
                <c:pt idx="70">
                  <c:v>105.4</c:v>
                </c:pt>
                <c:pt idx="71">
                  <c:v>110.6</c:v>
                </c:pt>
                <c:pt idx="72">
                  <c:v>87.9</c:v>
                </c:pt>
                <c:pt idx="73">
                  <c:v>106.9</c:v>
                </c:pt>
                <c:pt idx="74">
                  <c:v>110.1</c:v>
                </c:pt>
                <c:pt idx="75">
                  <c:v>106.9</c:v>
                </c:pt>
                <c:pt idx="76">
                  <c:v>86.5</c:v>
                </c:pt>
                <c:pt idx="77">
                  <c:v>106.2</c:v>
                </c:pt>
                <c:pt idx="78">
                  <c:v>90.1</c:v>
                </c:pt>
                <c:pt idx="79">
                  <c:v>99.7</c:v>
                </c:pt>
                <c:pt idx="80">
                  <c:v>77.8</c:v>
                </c:pt>
                <c:pt idx="81">
                  <c:v>85.4</c:v>
                </c:pt>
                <c:pt idx="82">
                  <c:v>99.9</c:v>
                </c:pt>
                <c:pt idx="83">
                  <c:v>105.2</c:v>
                </c:pt>
                <c:pt idx="84">
                  <c:v>100</c:v>
                </c:pt>
                <c:pt idx="85">
                  <c:v>103.4</c:v>
                </c:pt>
                <c:pt idx="86">
                  <c:v>99.4</c:v>
                </c:pt>
                <c:pt idx="87">
                  <c:v>82.1</c:v>
                </c:pt>
                <c:pt idx="88">
                  <c:v>92.9</c:v>
                </c:pt>
                <c:pt idx="89">
                  <c:v>93.6</c:v>
                </c:pt>
                <c:pt idx="90">
                  <c:v>124.9</c:v>
                </c:pt>
                <c:pt idx="91">
                  <c:v>86.8</c:v>
                </c:pt>
                <c:pt idx="92">
                  <c:v>80.7</c:v>
                </c:pt>
                <c:pt idx="93">
                  <c:v>86.8</c:v>
                </c:pt>
                <c:pt idx="94">
                  <c:v>107.1</c:v>
                </c:pt>
                <c:pt idx="95">
                  <c:v>111</c:v>
                </c:pt>
                <c:pt idx="96">
                  <c:v>89.8</c:v>
                </c:pt>
                <c:pt idx="97">
                  <c:v>103.5</c:v>
                </c:pt>
                <c:pt idx="98">
                  <c:v>102.5</c:v>
                </c:pt>
                <c:pt idx="99">
                  <c:v>99.8</c:v>
                </c:pt>
                <c:pt idx="100">
                  <c:v>90.7</c:v>
                </c:pt>
                <c:pt idx="101">
                  <c:v>105.1</c:v>
                </c:pt>
                <c:pt idx="102">
                  <c:v>104.9</c:v>
                </c:pt>
                <c:pt idx="103">
                  <c:v>101.2</c:v>
                </c:pt>
                <c:pt idx="104">
                  <c:v>100.2</c:v>
                </c:pt>
                <c:pt idx="105">
                  <c:v>99</c:v>
                </c:pt>
                <c:pt idx="106">
                  <c:v>99.4</c:v>
                </c:pt>
                <c:pt idx="107">
                  <c:v>102.2</c:v>
                </c:pt>
                <c:pt idx="108">
                  <c:v>108.7</c:v>
                </c:pt>
                <c:pt idx="109">
                  <c:v>86.1</c:v>
                </c:pt>
                <c:pt idx="110">
                  <c:v>101.5</c:v>
                </c:pt>
                <c:pt idx="111">
                  <c:v>91.1</c:v>
                </c:pt>
                <c:pt idx="112">
                  <c:v>96</c:v>
                </c:pt>
                <c:pt idx="113">
                  <c:v>107</c:v>
                </c:pt>
                <c:pt idx="114">
                  <c:v>110.5</c:v>
                </c:pt>
                <c:pt idx="115">
                  <c:v>110.6</c:v>
                </c:pt>
                <c:pt idx="116">
                  <c:v>126.7</c:v>
                </c:pt>
                <c:pt idx="117">
                  <c:v>93.9</c:v>
                </c:pt>
                <c:pt idx="118">
                  <c:v>91.9</c:v>
                </c:pt>
                <c:pt idx="119">
                  <c:v>88.2</c:v>
                </c:pt>
                <c:pt idx="120">
                  <c:v>96.1</c:v>
                </c:pt>
                <c:pt idx="121">
                  <c:v>102.1</c:v>
                </c:pt>
                <c:pt idx="122">
                  <c:v>105</c:v>
                </c:pt>
                <c:pt idx="123">
                  <c:v>107</c:v>
                </c:pt>
                <c:pt idx="124">
                  <c:v>100.5</c:v>
                </c:pt>
                <c:pt idx="125">
                  <c:v>110.3</c:v>
                </c:pt>
                <c:pt idx="126">
                  <c:v>102.9</c:v>
                </c:pt>
                <c:pt idx="127">
                  <c:v>82.1</c:v>
                </c:pt>
                <c:pt idx="128">
                  <c:v>110.3</c:v>
                </c:pt>
                <c:pt idx="129">
                  <c:v>85.6</c:v>
                </c:pt>
                <c:pt idx="130">
                  <c:v>87.3</c:v>
                </c:pt>
                <c:pt idx="131">
                  <c:v>72</c:v>
                </c:pt>
                <c:pt idx="132">
                  <c:v>81.3</c:v>
                </c:pt>
                <c:pt idx="133">
                  <c:v>87.5</c:v>
                </c:pt>
                <c:pt idx="134">
                  <c:v>84.6</c:v>
                </c:pt>
                <c:pt idx="135">
                  <c:v>110.2</c:v>
                </c:pt>
                <c:pt idx="136">
                  <c:v>106.6</c:v>
                </c:pt>
                <c:pt idx="137">
                  <c:v>84.7</c:v>
                </c:pt>
                <c:pt idx="138">
                  <c:v>102.5</c:v>
                </c:pt>
                <c:pt idx="139">
                  <c:v>134.69999999999999</c:v>
                </c:pt>
                <c:pt idx="140">
                  <c:v>104.9</c:v>
                </c:pt>
                <c:pt idx="141">
                  <c:v>100.6</c:v>
                </c:pt>
                <c:pt idx="142">
                  <c:v>122.5</c:v>
                </c:pt>
                <c:pt idx="143">
                  <c:v>86.5</c:v>
                </c:pt>
                <c:pt idx="144">
                  <c:v>93.5</c:v>
                </c:pt>
                <c:pt idx="145">
                  <c:v>105.9</c:v>
                </c:pt>
                <c:pt idx="146">
                  <c:v>89.2</c:v>
                </c:pt>
                <c:pt idx="147">
                  <c:v>91.2</c:v>
                </c:pt>
                <c:pt idx="148">
                  <c:v>104.8</c:v>
                </c:pt>
                <c:pt idx="149">
                  <c:v>72.599999999999994</c:v>
                </c:pt>
                <c:pt idx="150">
                  <c:v>88.4</c:v>
                </c:pt>
                <c:pt idx="151">
                  <c:v>101.3</c:v>
                </c:pt>
                <c:pt idx="152">
                  <c:v>96</c:v>
                </c:pt>
                <c:pt idx="153">
                  <c:v>89</c:v>
                </c:pt>
                <c:pt idx="154">
                  <c:v>95.9</c:v>
                </c:pt>
                <c:pt idx="155">
                  <c:v>105.5</c:v>
                </c:pt>
                <c:pt idx="156">
                  <c:v>94</c:v>
                </c:pt>
                <c:pt idx="157">
                  <c:v>84.3</c:v>
                </c:pt>
                <c:pt idx="158">
                  <c:v>102.7</c:v>
                </c:pt>
                <c:pt idx="159">
                  <c:v>104.6</c:v>
                </c:pt>
                <c:pt idx="160">
                  <c:v>90.3</c:v>
                </c:pt>
                <c:pt idx="161">
                  <c:v>107.3</c:v>
                </c:pt>
                <c:pt idx="162">
                  <c:v>88.8</c:v>
                </c:pt>
                <c:pt idx="163">
                  <c:v>90.9</c:v>
                </c:pt>
                <c:pt idx="164">
                  <c:v>106.2</c:v>
                </c:pt>
                <c:pt idx="165">
                  <c:v>108.6</c:v>
                </c:pt>
                <c:pt idx="166">
                  <c:v>113.7</c:v>
                </c:pt>
                <c:pt idx="167">
                  <c:v>105.4</c:v>
                </c:pt>
                <c:pt idx="168">
                  <c:v>87.3</c:v>
                </c:pt>
                <c:pt idx="169">
                  <c:v>110.2</c:v>
                </c:pt>
                <c:pt idx="170">
                  <c:v>111.6</c:v>
                </c:pt>
                <c:pt idx="171">
                  <c:v>101.6</c:v>
                </c:pt>
                <c:pt idx="172">
                  <c:v>91.1</c:v>
                </c:pt>
                <c:pt idx="173">
                  <c:v>94.8</c:v>
                </c:pt>
                <c:pt idx="174">
                  <c:v>85.2</c:v>
                </c:pt>
                <c:pt idx="175">
                  <c:v>106.1</c:v>
                </c:pt>
                <c:pt idx="176">
                  <c:v>74.3</c:v>
                </c:pt>
                <c:pt idx="177">
                  <c:v>70</c:v>
                </c:pt>
                <c:pt idx="178">
                  <c:v>104.9</c:v>
                </c:pt>
                <c:pt idx="179">
                  <c:v>98.2</c:v>
                </c:pt>
                <c:pt idx="180">
                  <c:v>87.9</c:v>
                </c:pt>
                <c:pt idx="181">
                  <c:v>90.4</c:v>
                </c:pt>
                <c:pt idx="182">
                  <c:v>89</c:v>
                </c:pt>
                <c:pt idx="183">
                  <c:v>91.8</c:v>
                </c:pt>
                <c:pt idx="184">
                  <c:v>87.5</c:v>
                </c:pt>
                <c:pt idx="185">
                  <c:v>83.5</c:v>
                </c:pt>
                <c:pt idx="186">
                  <c:v>99.9</c:v>
                </c:pt>
                <c:pt idx="187">
                  <c:v>72</c:v>
                </c:pt>
                <c:pt idx="188">
                  <c:v>83.3</c:v>
                </c:pt>
                <c:pt idx="189">
                  <c:v>93.1</c:v>
                </c:pt>
                <c:pt idx="190">
                  <c:v>87.4</c:v>
                </c:pt>
                <c:pt idx="191">
                  <c:v>90.9</c:v>
                </c:pt>
                <c:pt idx="192">
                  <c:v>88</c:v>
                </c:pt>
                <c:pt idx="193">
                  <c:v>111.5</c:v>
                </c:pt>
                <c:pt idx="194">
                  <c:v>93.2</c:v>
                </c:pt>
                <c:pt idx="195">
                  <c:v>106.5</c:v>
                </c:pt>
                <c:pt idx="196">
                  <c:v>92.8</c:v>
                </c:pt>
                <c:pt idx="197">
                  <c:v>100.1</c:v>
                </c:pt>
                <c:pt idx="198">
                  <c:v>95.9</c:v>
                </c:pt>
                <c:pt idx="199">
                  <c:v>115.3</c:v>
                </c:pt>
                <c:pt idx="200">
                  <c:v>101.1</c:v>
                </c:pt>
                <c:pt idx="201">
                  <c:v>97.5</c:v>
                </c:pt>
                <c:pt idx="202">
                  <c:v>105</c:v>
                </c:pt>
                <c:pt idx="203">
                  <c:v>107</c:v>
                </c:pt>
                <c:pt idx="204">
                  <c:v>95.6</c:v>
                </c:pt>
                <c:pt idx="205">
                  <c:v>111.2</c:v>
                </c:pt>
                <c:pt idx="206">
                  <c:v>92.3</c:v>
                </c:pt>
                <c:pt idx="207">
                  <c:v>90.2</c:v>
                </c:pt>
                <c:pt idx="208">
                  <c:v>101.5</c:v>
                </c:pt>
                <c:pt idx="209">
                  <c:v>103.7</c:v>
                </c:pt>
                <c:pt idx="210">
                  <c:v>91.7</c:v>
                </c:pt>
                <c:pt idx="211">
                  <c:v>104.8</c:v>
                </c:pt>
                <c:pt idx="212">
                  <c:v>80.099999999999994</c:v>
                </c:pt>
                <c:pt idx="213">
                  <c:v>106.3</c:v>
                </c:pt>
                <c:pt idx="214">
                  <c:v>108.8</c:v>
                </c:pt>
                <c:pt idx="215">
                  <c:v>90.8</c:v>
                </c:pt>
                <c:pt idx="216">
                  <c:v>104.2</c:v>
                </c:pt>
                <c:pt idx="217">
                  <c:v>90.2</c:v>
                </c:pt>
                <c:pt idx="218">
                  <c:v>105.9</c:v>
                </c:pt>
                <c:pt idx="219">
                  <c:v>87.7</c:v>
                </c:pt>
                <c:pt idx="220">
                  <c:v>100.8</c:v>
                </c:pt>
                <c:pt idx="221">
                  <c:v>95</c:v>
                </c:pt>
                <c:pt idx="222">
                  <c:v>81.7</c:v>
                </c:pt>
                <c:pt idx="223">
                  <c:v>81.400000000000006</c:v>
                </c:pt>
                <c:pt idx="224">
                  <c:v>109.2</c:v>
                </c:pt>
                <c:pt idx="225">
                  <c:v>96.8</c:v>
                </c:pt>
                <c:pt idx="226">
                  <c:v>104</c:v>
                </c:pt>
                <c:pt idx="227">
                  <c:v>107.3</c:v>
                </c:pt>
                <c:pt idx="228">
                  <c:v>99.6</c:v>
                </c:pt>
                <c:pt idx="229">
                  <c:v>86.9</c:v>
                </c:pt>
                <c:pt idx="230">
                  <c:v>81.7</c:v>
                </c:pt>
                <c:pt idx="231">
                  <c:v>106.3</c:v>
                </c:pt>
                <c:pt idx="232">
                  <c:v>87.6</c:v>
                </c:pt>
                <c:pt idx="233">
                  <c:v>103.4</c:v>
                </c:pt>
                <c:pt idx="234">
                  <c:v>103.4</c:v>
                </c:pt>
                <c:pt idx="235">
                  <c:v>93.5</c:v>
                </c:pt>
                <c:pt idx="236">
                  <c:v>105</c:v>
                </c:pt>
                <c:pt idx="237">
                  <c:v>88.6</c:v>
                </c:pt>
                <c:pt idx="238">
                  <c:v>86.8</c:v>
                </c:pt>
                <c:pt idx="239">
                  <c:v>93</c:v>
                </c:pt>
                <c:pt idx="240">
                  <c:v>109.1</c:v>
                </c:pt>
                <c:pt idx="241">
                  <c:v>90</c:v>
                </c:pt>
                <c:pt idx="242">
                  <c:v>94.8</c:v>
                </c:pt>
                <c:pt idx="243">
                  <c:v>110.2</c:v>
                </c:pt>
                <c:pt idx="244">
                  <c:v>90.3</c:v>
                </c:pt>
                <c:pt idx="245">
                  <c:v>83.2</c:v>
                </c:pt>
                <c:pt idx="246">
                  <c:v>77.099999999999994</c:v>
                </c:pt>
                <c:pt idx="247">
                  <c:v>87</c:v>
                </c:pt>
                <c:pt idx="248">
                  <c:v>78.7</c:v>
                </c:pt>
                <c:pt idx="249">
                  <c:v>85.2</c:v>
                </c:pt>
                <c:pt idx="250">
                  <c:v>106.7</c:v>
                </c:pt>
                <c:pt idx="251">
                  <c:v>106.3</c:v>
                </c:pt>
                <c:pt idx="252">
                  <c:v>100.4</c:v>
                </c:pt>
                <c:pt idx="253">
                  <c:v>84.2</c:v>
                </c:pt>
                <c:pt idx="254">
                  <c:v>95.2</c:v>
                </c:pt>
                <c:pt idx="255">
                  <c:v>89.2</c:v>
                </c:pt>
                <c:pt idx="256">
                  <c:v>89</c:v>
                </c:pt>
                <c:pt idx="257">
                  <c:v>85.8</c:v>
                </c:pt>
                <c:pt idx="258">
                  <c:v>89.2</c:v>
                </c:pt>
                <c:pt idx="259">
                  <c:v>90.4</c:v>
                </c:pt>
                <c:pt idx="260">
                  <c:v>107.2</c:v>
                </c:pt>
                <c:pt idx="261">
                  <c:v>103.8</c:v>
                </c:pt>
                <c:pt idx="262">
                  <c:v>91.3</c:v>
                </c:pt>
                <c:pt idx="263">
                  <c:v>80.8</c:v>
                </c:pt>
                <c:pt idx="264">
                  <c:v>79.099999999999994</c:v>
                </c:pt>
                <c:pt idx="265">
                  <c:v>95.3</c:v>
                </c:pt>
                <c:pt idx="266">
                  <c:v>91.2</c:v>
                </c:pt>
                <c:pt idx="267">
                  <c:v>88.8</c:v>
                </c:pt>
                <c:pt idx="268">
                  <c:v>100.6</c:v>
                </c:pt>
                <c:pt idx="269">
                  <c:v>97.2</c:v>
                </c:pt>
                <c:pt idx="270">
                  <c:v>87.8</c:v>
                </c:pt>
                <c:pt idx="271">
                  <c:v>111.3</c:v>
                </c:pt>
                <c:pt idx="272">
                  <c:v>112</c:v>
                </c:pt>
                <c:pt idx="273">
                  <c:v>88.8</c:v>
                </c:pt>
                <c:pt idx="274">
                  <c:v>88.3</c:v>
                </c:pt>
                <c:pt idx="275">
                  <c:v>99.2</c:v>
                </c:pt>
                <c:pt idx="276">
                  <c:v>83.2</c:v>
                </c:pt>
                <c:pt idx="277">
                  <c:v>92.9</c:v>
                </c:pt>
                <c:pt idx="278">
                  <c:v>107.1</c:v>
                </c:pt>
                <c:pt idx="279">
                  <c:v>88</c:v>
                </c:pt>
                <c:pt idx="280">
                  <c:v>96.6</c:v>
                </c:pt>
                <c:pt idx="281">
                  <c:v>91</c:v>
                </c:pt>
                <c:pt idx="282">
                  <c:v>92</c:v>
                </c:pt>
                <c:pt idx="283">
                  <c:v>97.1</c:v>
                </c:pt>
                <c:pt idx="284">
                  <c:v>103.8</c:v>
                </c:pt>
                <c:pt idx="285">
                  <c:v>93.5</c:v>
                </c:pt>
                <c:pt idx="286">
                  <c:v>103.3</c:v>
                </c:pt>
                <c:pt idx="287">
                  <c:v>104.1</c:v>
                </c:pt>
                <c:pt idx="288">
                  <c:v>94.1</c:v>
                </c:pt>
                <c:pt idx="289">
                  <c:v>103.4</c:v>
                </c:pt>
                <c:pt idx="290">
                  <c:v>82.8</c:v>
                </c:pt>
                <c:pt idx="291">
                  <c:v>95.2</c:v>
                </c:pt>
                <c:pt idx="292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8-447E-BC71-480AE61EF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15584"/>
        <c:axId val="168379904"/>
      </c:scatterChart>
      <c:valAx>
        <c:axId val="16811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Meteor</a:t>
                </a:r>
                <a:r>
                  <a:rPr lang="en-US" baseline="0"/>
                  <a:t> Vel (km/s)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379904"/>
        <c:crosses val="autoZero"/>
        <c:crossBetween val="midCat"/>
      </c:valAx>
      <c:valAx>
        <c:axId val="168379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Meteor</a:t>
                </a:r>
                <a:r>
                  <a:rPr lang="en-US" baseline="0"/>
                  <a:t> Entry Alt (km)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115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 vs Velocity</c:v>
          </c:tx>
          <c:spPr>
            <a:ln w="28575">
              <a:noFill/>
            </a:ln>
          </c:spPr>
          <c:xVal>
            <c:numRef>
              <c:f>'2013 Meteors'!$B$2:$B$294</c:f>
              <c:numCache>
                <c:formatCode>General</c:formatCode>
                <c:ptCount val="293"/>
                <c:pt idx="0">
                  <c:v>43.9</c:v>
                </c:pt>
                <c:pt idx="1">
                  <c:v>27.2</c:v>
                </c:pt>
                <c:pt idx="2">
                  <c:v>22.7</c:v>
                </c:pt>
                <c:pt idx="3">
                  <c:v>56.2</c:v>
                </c:pt>
                <c:pt idx="4">
                  <c:v>29</c:v>
                </c:pt>
                <c:pt idx="5">
                  <c:v>41</c:v>
                </c:pt>
                <c:pt idx="6">
                  <c:v>46.7</c:v>
                </c:pt>
                <c:pt idx="7">
                  <c:v>26.7</c:v>
                </c:pt>
                <c:pt idx="8">
                  <c:v>40.9</c:v>
                </c:pt>
                <c:pt idx="9">
                  <c:v>38.4</c:v>
                </c:pt>
                <c:pt idx="10">
                  <c:v>40.9</c:v>
                </c:pt>
                <c:pt idx="11">
                  <c:v>37.700000000000003</c:v>
                </c:pt>
                <c:pt idx="12">
                  <c:v>63.2</c:v>
                </c:pt>
                <c:pt idx="13">
                  <c:v>99.7</c:v>
                </c:pt>
                <c:pt idx="14">
                  <c:v>42.3</c:v>
                </c:pt>
                <c:pt idx="15">
                  <c:v>72.400000000000006</c:v>
                </c:pt>
                <c:pt idx="16">
                  <c:v>51.8</c:v>
                </c:pt>
                <c:pt idx="17">
                  <c:v>66.900000000000006</c:v>
                </c:pt>
                <c:pt idx="18">
                  <c:v>40.4</c:v>
                </c:pt>
                <c:pt idx="19">
                  <c:v>38.6</c:v>
                </c:pt>
                <c:pt idx="20">
                  <c:v>54.9</c:v>
                </c:pt>
                <c:pt idx="21">
                  <c:v>52.8</c:v>
                </c:pt>
                <c:pt idx="22">
                  <c:v>65.900000000000006</c:v>
                </c:pt>
                <c:pt idx="23">
                  <c:v>28.2</c:v>
                </c:pt>
                <c:pt idx="24">
                  <c:v>41.4</c:v>
                </c:pt>
                <c:pt idx="25">
                  <c:v>46.4</c:v>
                </c:pt>
                <c:pt idx="26">
                  <c:v>59.6</c:v>
                </c:pt>
                <c:pt idx="27">
                  <c:v>63.3</c:v>
                </c:pt>
                <c:pt idx="28">
                  <c:v>59</c:v>
                </c:pt>
                <c:pt idx="29">
                  <c:v>41.5</c:v>
                </c:pt>
                <c:pt idx="30">
                  <c:v>92.9</c:v>
                </c:pt>
                <c:pt idx="31">
                  <c:v>65.5</c:v>
                </c:pt>
                <c:pt idx="32">
                  <c:v>61.6</c:v>
                </c:pt>
                <c:pt idx="33">
                  <c:v>19.2</c:v>
                </c:pt>
                <c:pt idx="34">
                  <c:v>30.9</c:v>
                </c:pt>
                <c:pt idx="35">
                  <c:v>30.2</c:v>
                </c:pt>
                <c:pt idx="36">
                  <c:v>50.3</c:v>
                </c:pt>
                <c:pt idx="37">
                  <c:v>51.8</c:v>
                </c:pt>
                <c:pt idx="38">
                  <c:v>96</c:v>
                </c:pt>
                <c:pt idx="39">
                  <c:v>68.5</c:v>
                </c:pt>
                <c:pt idx="40">
                  <c:v>49.3</c:v>
                </c:pt>
                <c:pt idx="41">
                  <c:v>62.5</c:v>
                </c:pt>
                <c:pt idx="42">
                  <c:v>52.6</c:v>
                </c:pt>
                <c:pt idx="43">
                  <c:v>52.6</c:v>
                </c:pt>
                <c:pt idx="44">
                  <c:v>58.3</c:v>
                </c:pt>
                <c:pt idx="45">
                  <c:v>24.8</c:v>
                </c:pt>
                <c:pt idx="46">
                  <c:v>52.3</c:v>
                </c:pt>
                <c:pt idx="47">
                  <c:v>40.700000000000003</c:v>
                </c:pt>
                <c:pt idx="48">
                  <c:v>70</c:v>
                </c:pt>
                <c:pt idx="49">
                  <c:v>24.7</c:v>
                </c:pt>
                <c:pt idx="50">
                  <c:v>58.4</c:v>
                </c:pt>
                <c:pt idx="51">
                  <c:v>38.799999999999997</c:v>
                </c:pt>
                <c:pt idx="52">
                  <c:v>67</c:v>
                </c:pt>
                <c:pt idx="53">
                  <c:v>58.2</c:v>
                </c:pt>
                <c:pt idx="54">
                  <c:v>73.3</c:v>
                </c:pt>
                <c:pt idx="55">
                  <c:v>62.7</c:v>
                </c:pt>
                <c:pt idx="56">
                  <c:v>71.099999999999994</c:v>
                </c:pt>
                <c:pt idx="57">
                  <c:v>28.2</c:v>
                </c:pt>
                <c:pt idx="58">
                  <c:v>20.5</c:v>
                </c:pt>
                <c:pt idx="59">
                  <c:v>37.5</c:v>
                </c:pt>
                <c:pt idx="60">
                  <c:v>46.6</c:v>
                </c:pt>
                <c:pt idx="61">
                  <c:v>66.599999999999994</c:v>
                </c:pt>
                <c:pt idx="62">
                  <c:v>68.900000000000006</c:v>
                </c:pt>
                <c:pt idx="63">
                  <c:v>47.2</c:v>
                </c:pt>
                <c:pt idx="64">
                  <c:v>67.8</c:v>
                </c:pt>
                <c:pt idx="65">
                  <c:v>16.3</c:v>
                </c:pt>
                <c:pt idx="66">
                  <c:v>62.7</c:v>
                </c:pt>
                <c:pt idx="67">
                  <c:v>15</c:v>
                </c:pt>
                <c:pt idx="68">
                  <c:v>69.599999999999994</c:v>
                </c:pt>
                <c:pt idx="69">
                  <c:v>67</c:v>
                </c:pt>
                <c:pt idx="70">
                  <c:v>46.8</c:v>
                </c:pt>
                <c:pt idx="71">
                  <c:v>56</c:v>
                </c:pt>
                <c:pt idx="72">
                  <c:v>27.1</c:v>
                </c:pt>
                <c:pt idx="73">
                  <c:v>62.7</c:v>
                </c:pt>
                <c:pt idx="74">
                  <c:v>66.900000000000006</c:v>
                </c:pt>
                <c:pt idx="75">
                  <c:v>65.5</c:v>
                </c:pt>
                <c:pt idx="76">
                  <c:v>42.6</c:v>
                </c:pt>
                <c:pt idx="77">
                  <c:v>67</c:v>
                </c:pt>
                <c:pt idx="78">
                  <c:v>39.4</c:v>
                </c:pt>
                <c:pt idx="79">
                  <c:v>30.6</c:v>
                </c:pt>
                <c:pt idx="80">
                  <c:v>16.3</c:v>
                </c:pt>
                <c:pt idx="81">
                  <c:v>33.700000000000003</c:v>
                </c:pt>
                <c:pt idx="82">
                  <c:v>53.7</c:v>
                </c:pt>
                <c:pt idx="83">
                  <c:v>66</c:v>
                </c:pt>
                <c:pt idx="84">
                  <c:v>63.4</c:v>
                </c:pt>
                <c:pt idx="85">
                  <c:v>58</c:v>
                </c:pt>
                <c:pt idx="86">
                  <c:v>69.7</c:v>
                </c:pt>
                <c:pt idx="87">
                  <c:v>16.8</c:v>
                </c:pt>
                <c:pt idx="88">
                  <c:v>39.6</c:v>
                </c:pt>
                <c:pt idx="89">
                  <c:v>35.1</c:v>
                </c:pt>
                <c:pt idx="90">
                  <c:v>70.900000000000006</c:v>
                </c:pt>
                <c:pt idx="91">
                  <c:v>29.9</c:v>
                </c:pt>
                <c:pt idx="92">
                  <c:v>27.4</c:v>
                </c:pt>
                <c:pt idx="93">
                  <c:v>41.6</c:v>
                </c:pt>
                <c:pt idx="94">
                  <c:v>76.400000000000006</c:v>
                </c:pt>
                <c:pt idx="95">
                  <c:v>67.8</c:v>
                </c:pt>
                <c:pt idx="96">
                  <c:v>32.6</c:v>
                </c:pt>
                <c:pt idx="97">
                  <c:v>57.1</c:v>
                </c:pt>
                <c:pt idx="98">
                  <c:v>53.2</c:v>
                </c:pt>
                <c:pt idx="99">
                  <c:v>58.9</c:v>
                </c:pt>
                <c:pt idx="100">
                  <c:v>46</c:v>
                </c:pt>
                <c:pt idx="101">
                  <c:v>45.9</c:v>
                </c:pt>
                <c:pt idx="102">
                  <c:v>58.1</c:v>
                </c:pt>
                <c:pt idx="103">
                  <c:v>56.7</c:v>
                </c:pt>
                <c:pt idx="104">
                  <c:v>56.7</c:v>
                </c:pt>
                <c:pt idx="105">
                  <c:v>70.5</c:v>
                </c:pt>
                <c:pt idx="106">
                  <c:v>54.9</c:v>
                </c:pt>
                <c:pt idx="107">
                  <c:v>66</c:v>
                </c:pt>
                <c:pt idx="108">
                  <c:v>65.599999999999994</c:v>
                </c:pt>
                <c:pt idx="109">
                  <c:v>24.7</c:v>
                </c:pt>
                <c:pt idx="110">
                  <c:v>68.2</c:v>
                </c:pt>
                <c:pt idx="111">
                  <c:v>21.8</c:v>
                </c:pt>
                <c:pt idx="112">
                  <c:v>24.1</c:v>
                </c:pt>
                <c:pt idx="113">
                  <c:v>62.9</c:v>
                </c:pt>
                <c:pt idx="114">
                  <c:v>66</c:v>
                </c:pt>
                <c:pt idx="115">
                  <c:v>62.8</c:v>
                </c:pt>
                <c:pt idx="116">
                  <c:v>73.599999999999994</c:v>
                </c:pt>
                <c:pt idx="117">
                  <c:v>39.200000000000003</c:v>
                </c:pt>
                <c:pt idx="118">
                  <c:v>37</c:v>
                </c:pt>
                <c:pt idx="119">
                  <c:v>40.799999999999997</c:v>
                </c:pt>
                <c:pt idx="120">
                  <c:v>46.1</c:v>
                </c:pt>
                <c:pt idx="121">
                  <c:v>59.6</c:v>
                </c:pt>
                <c:pt idx="122">
                  <c:v>64.599999999999994</c:v>
                </c:pt>
                <c:pt idx="123">
                  <c:v>62.2</c:v>
                </c:pt>
                <c:pt idx="124">
                  <c:v>62.8</c:v>
                </c:pt>
                <c:pt idx="125">
                  <c:v>66.599999999999994</c:v>
                </c:pt>
                <c:pt idx="126">
                  <c:v>64.7</c:v>
                </c:pt>
                <c:pt idx="127">
                  <c:v>24.9</c:v>
                </c:pt>
                <c:pt idx="128">
                  <c:v>66.599999999999994</c:v>
                </c:pt>
                <c:pt idx="129">
                  <c:v>24.7</c:v>
                </c:pt>
                <c:pt idx="130">
                  <c:v>26.7</c:v>
                </c:pt>
                <c:pt idx="131">
                  <c:v>15.5</c:v>
                </c:pt>
                <c:pt idx="132">
                  <c:v>27.4</c:v>
                </c:pt>
                <c:pt idx="133">
                  <c:v>42.9</c:v>
                </c:pt>
                <c:pt idx="134">
                  <c:v>20</c:v>
                </c:pt>
                <c:pt idx="135">
                  <c:v>69.599999999999994</c:v>
                </c:pt>
                <c:pt idx="136">
                  <c:v>62.5</c:v>
                </c:pt>
                <c:pt idx="137">
                  <c:v>20</c:v>
                </c:pt>
                <c:pt idx="138">
                  <c:v>64.400000000000006</c:v>
                </c:pt>
                <c:pt idx="139">
                  <c:v>73.400000000000006</c:v>
                </c:pt>
                <c:pt idx="140">
                  <c:v>69.7</c:v>
                </c:pt>
                <c:pt idx="141">
                  <c:v>43.5</c:v>
                </c:pt>
                <c:pt idx="142">
                  <c:v>74.900000000000006</c:v>
                </c:pt>
                <c:pt idx="143">
                  <c:v>15.6</c:v>
                </c:pt>
                <c:pt idx="144">
                  <c:v>30.6</c:v>
                </c:pt>
                <c:pt idx="145">
                  <c:v>69.099999999999994</c:v>
                </c:pt>
                <c:pt idx="146">
                  <c:v>42.6</c:v>
                </c:pt>
                <c:pt idx="147">
                  <c:v>46.6</c:v>
                </c:pt>
                <c:pt idx="148">
                  <c:v>66</c:v>
                </c:pt>
                <c:pt idx="149">
                  <c:v>13.1</c:v>
                </c:pt>
                <c:pt idx="150">
                  <c:v>25.2</c:v>
                </c:pt>
                <c:pt idx="151">
                  <c:v>71.099999999999994</c:v>
                </c:pt>
                <c:pt idx="152">
                  <c:v>47</c:v>
                </c:pt>
                <c:pt idx="153">
                  <c:v>44.1</c:v>
                </c:pt>
                <c:pt idx="154">
                  <c:v>64</c:v>
                </c:pt>
                <c:pt idx="155">
                  <c:v>67.7</c:v>
                </c:pt>
                <c:pt idx="156">
                  <c:v>57.1</c:v>
                </c:pt>
                <c:pt idx="157">
                  <c:v>33.1</c:v>
                </c:pt>
                <c:pt idx="158">
                  <c:v>64.400000000000006</c:v>
                </c:pt>
                <c:pt idx="159">
                  <c:v>58.6</c:v>
                </c:pt>
                <c:pt idx="160">
                  <c:v>90</c:v>
                </c:pt>
                <c:pt idx="161">
                  <c:v>56.6</c:v>
                </c:pt>
                <c:pt idx="162">
                  <c:v>44</c:v>
                </c:pt>
                <c:pt idx="163">
                  <c:v>26.8</c:v>
                </c:pt>
                <c:pt idx="164">
                  <c:v>64.900000000000006</c:v>
                </c:pt>
                <c:pt idx="165">
                  <c:v>67.7</c:v>
                </c:pt>
                <c:pt idx="166">
                  <c:v>71.400000000000006</c:v>
                </c:pt>
                <c:pt idx="167">
                  <c:v>68.400000000000006</c:v>
                </c:pt>
                <c:pt idx="168">
                  <c:v>39.299999999999997</c:v>
                </c:pt>
                <c:pt idx="169">
                  <c:v>69.2</c:v>
                </c:pt>
                <c:pt idx="170">
                  <c:v>67.099999999999994</c:v>
                </c:pt>
                <c:pt idx="171">
                  <c:v>49.9</c:v>
                </c:pt>
                <c:pt idx="172">
                  <c:v>31</c:v>
                </c:pt>
                <c:pt idx="173">
                  <c:v>21.4</c:v>
                </c:pt>
                <c:pt idx="174">
                  <c:v>21.7</c:v>
                </c:pt>
                <c:pt idx="175">
                  <c:v>54.2</c:v>
                </c:pt>
                <c:pt idx="176">
                  <c:v>19.3</c:v>
                </c:pt>
                <c:pt idx="177">
                  <c:v>19.2</c:v>
                </c:pt>
                <c:pt idx="178">
                  <c:v>44.1</c:v>
                </c:pt>
                <c:pt idx="179">
                  <c:v>66.8</c:v>
                </c:pt>
                <c:pt idx="180">
                  <c:v>45.4</c:v>
                </c:pt>
                <c:pt idx="181">
                  <c:v>19.399999999999999</c:v>
                </c:pt>
                <c:pt idx="182">
                  <c:v>17</c:v>
                </c:pt>
                <c:pt idx="183">
                  <c:v>37.1</c:v>
                </c:pt>
                <c:pt idx="184">
                  <c:v>29.4</c:v>
                </c:pt>
                <c:pt idx="185">
                  <c:v>25</c:v>
                </c:pt>
                <c:pt idx="186">
                  <c:v>34.799999999999997</c:v>
                </c:pt>
                <c:pt idx="187">
                  <c:v>17.7</c:v>
                </c:pt>
                <c:pt idx="188">
                  <c:v>24.6</c:v>
                </c:pt>
                <c:pt idx="189">
                  <c:v>28.6</c:v>
                </c:pt>
                <c:pt idx="190">
                  <c:v>38</c:v>
                </c:pt>
                <c:pt idx="191">
                  <c:v>35.5</c:v>
                </c:pt>
                <c:pt idx="192">
                  <c:v>30.3</c:v>
                </c:pt>
                <c:pt idx="193">
                  <c:v>72.5</c:v>
                </c:pt>
                <c:pt idx="194">
                  <c:v>40.799999999999997</c:v>
                </c:pt>
                <c:pt idx="195">
                  <c:v>69.900000000000006</c:v>
                </c:pt>
                <c:pt idx="196">
                  <c:v>44.9</c:v>
                </c:pt>
                <c:pt idx="197">
                  <c:v>52.3</c:v>
                </c:pt>
                <c:pt idx="198">
                  <c:v>69.2</c:v>
                </c:pt>
                <c:pt idx="199">
                  <c:v>74.7</c:v>
                </c:pt>
                <c:pt idx="200">
                  <c:v>66.900000000000006</c:v>
                </c:pt>
                <c:pt idx="201">
                  <c:v>40.799999999999997</c:v>
                </c:pt>
                <c:pt idx="202">
                  <c:v>60.3</c:v>
                </c:pt>
                <c:pt idx="203">
                  <c:v>64.7</c:v>
                </c:pt>
                <c:pt idx="204">
                  <c:v>33.6</c:v>
                </c:pt>
                <c:pt idx="205">
                  <c:v>64.2</c:v>
                </c:pt>
                <c:pt idx="206">
                  <c:v>22.2</c:v>
                </c:pt>
                <c:pt idx="207">
                  <c:v>39.799999999999997</c:v>
                </c:pt>
                <c:pt idx="208">
                  <c:v>59.2</c:v>
                </c:pt>
                <c:pt idx="209">
                  <c:v>68.599999999999994</c:v>
                </c:pt>
                <c:pt idx="210">
                  <c:v>29.3</c:v>
                </c:pt>
                <c:pt idx="211">
                  <c:v>58.3</c:v>
                </c:pt>
                <c:pt idx="212">
                  <c:v>25.3</c:v>
                </c:pt>
                <c:pt idx="213">
                  <c:v>62.5</c:v>
                </c:pt>
                <c:pt idx="214">
                  <c:v>64.099999999999994</c:v>
                </c:pt>
                <c:pt idx="215">
                  <c:v>27.1</c:v>
                </c:pt>
                <c:pt idx="216">
                  <c:v>67.2</c:v>
                </c:pt>
                <c:pt idx="217">
                  <c:v>19.7</c:v>
                </c:pt>
                <c:pt idx="218">
                  <c:v>63.8</c:v>
                </c:pt>
                <c:pt idx="219">
                  <c:v>38.5</c:v>
                </c:pt>
                <c:pt idx="220">
                  <c:v>58.6</c:v>
                </c:pt>
                <c:pt idx="221">
                  <c:v>33.1</c:v>
                </c:pt>
                <c:pt idx="222">
                  <c:v>19.5</c:v>
                </c:pt>
                <c:pt idx="223">
                  <c:v>19.100000000000001</c:v>
                </c:pt>
                <c:pt idx="224">
                  <c:v>62.1</c:v>
                </c:pt>
                <c:pt idx="225">
                  <c:v>55.7</c:v>
                </c:pt>
                <c:pt idx="226">
                  <c:v>54.5</c:v>
                </c:pt>
                <c:pt idx="227">
                  <c:v>58.8</c:v>
                </c:pt>
                <c:pt idx="228">
                  <c:v>59.1</c:v>
                </c:pt>
                <c:pt idx="229">
                  <c:v>21.1</c:v>
                </c:pt>
                <c:pt idx="230">
                  <c:v>27</c:v>
                </c:pt>
                <c:pt idx="231">
                  <c:v>53.4</c:v>
                </c:pt>
                <c:pt idx="232">
                  <c:v>18.2</c:v>
                </c:pt>
                <c:pt idx="233">
                  <c:v>46.2</c:v>
                </c:pt>
                <c:pt idx="234">
                  <c:v>50</c:v>
                </c:pt>
                <c:pt idx="235">
                  <c:v>30.1</c:v>
                </c:pt>
                <c:pt idx="236">
                  <c:v>60.9</c:v>
                </c:pt>
                <c:pt idx="237">
                  <c:v>45.8</c:v>
                </c:pt>
                <c:pt idx="238">
                  <c:v>17.5</c:v>
                </c:pt>
                <c:pt idx="239">
                  <c:v>22.1</c:v>
                </c:pt>
                <c:pt idx="240">
                  <c:v>67.3</c:v>
                </c:pt>
                <c:pt idx="241">
                  <c:v>27.5</c:v>
                </c:pt>
                <c:pt idx="242">
                  <c:v>47.7</c:v>
                </c:pt>
                <c:pt idx="243">
                  <c:v>68.5</c:v>
                </c:pt>
                <c:pt idx="244">
                  <c:v>31</c:v>
                </c:pt>
                <c:pt idx="245">
                  <c:v>32.9</c:v>
                </c:pt>
                <c:pt idx="246">
                  <c:v>14.8</c:v>
                </c:pt>
                <c:pt idx="247">
                  <c:v>30</c:v>
                </c:pt>
                <c:pt idx="248">
                  <c:v>22.2</c:v>
                </c:pt>
                <c:pt idx="249">
                  <c:v>29.2</c:v>
                </c:pt>
                <c:pt idx="250">
                  <c:v>57.9</c:v>
                </c:pt>
                <c:pt idx="251">
                  <c:v>68.8</c:v>
                </c:pt>
                <c:pt idx="252">
                  <c:v>68.599999999999994</c:v>
                </c:pt>
                <c:pt idx="253">
                  <c:v>27.9</c:v>
                </c:pt>
                <c:pt idx="254">
                  <c:v>38.700000000000003</c:v>
                </c:pt>
                <c:pt idx="255">
                  <c:v>29.2</c:v>
                </c:pt>
                <c:pt idx="256">
                  <c:v>30.8</c:v>
                </c:pt>
                <c:pt idx="257">
                  <c:v>29.6</c:v>
                </c:pt>
                <c:pt idx="258">
                  <c:v>31.5</c:v>
                </c:pt>
                <c:pt idx="259">
                  <c:v>58.4</c:v>
                </c:pt>
                <c:pt idx="260">
                  <c:v>68.900000000000006</c:v>
                </c:pt>
                <c:pt idx="261">
                  <c:v>64.2</c:v>
                </c:pt>
                <c:pt idx="262">
                  <c:v>38.9</c:v>
                </c:pt>
                <c:pt idx="263">
                  <c:v>29.7</c:v>
                </c:pt>
                <c:pt idx="264">
                  <c:v>18.899999999999999</c:v>
                </c:pt>
                <c:pt idx="265">
                  <c:v>36.5</c:v>
                </c:pt>
                <c:pt idx="266">
                  <c:v>37.6</c:v>
                </c:pt>
                <c:pt idx="267">
                  <c:v>27.8</c:v>
                </c:pt>
                <c:pt idx="268">
                  <c:v>52.5</c:v>
                </c:pt>
                <c:pt idx="269">
                  <c:v>40.4</c:v>
                </c:pt>
                <c:pt idx="270">
                  <c:v>28</c:v>
                </c:pt>
                <c:pt idx="271">
                  <c:v>73</c:v>
                </c:pt>
                <c:pt idx="272">
                  <c:v>69.099999999999994</c:v>
                </c:pt>
                <c:pt idx="273">
                  <c:v>26.3</c:v>
                </c:pt>
                <c:pt idx="274">
                  <c:v>31.1</c:v>
                </c:pt>
                <c:pt idx="275">
                  <c:v>72.8</c:v>
                </c:pt>
                <c:pt idx="276">
                  <c:v>25.4</c:v>
                </c:pt>
                <c:pt idx="277">
                  <c:v>35.5</c:v>
                </c:pt>
                <c:pt idx="278">
                  <c:v>68.400000000000006</c:v>
                </c:pt>
                <c:pt idx="279">
                  <c:v>27.5</c:v>
                </c:pt>
                <c:pt idx="280">
                  <c:v>43.3</c:v>
                </c:pt>
                <c:pt idx="281">
                  <c:v>26.8</c:v>
                </c:pt>
                <c:pt idx="282">
                  <c:v>31.5</c:v>
                </c:pt>
                <c:pt idx="283">
                  <c:v>41.4</c:v>
                </c:pt>
                <c:pt idx="284">
                  <c:v>60.9</c:v>
                </c:pt>
                <c:pt idx="285">
                  <c:v>43.1</c:v>
                </c:pt>
                <c:pt idx="286">
                  <c:v>56.4</c:v>
                </c:pt>
                <c:pt idx="287">
                  <c:v>55.2</c:v>
                </c:pt>
                <c:pt idx="288">
                  <c:v>32.700000000000003</c:v>
                </c:pt>
                <c:pt idx="289">
                  <c:v>76.2</c:v>
                </c:pt>
                <c:pt idx="290">
                  <c:v>31.8</c:v>
                </c:pt>
                <c:pt idx="291">
                  <c:v>42.5</c:v>
                </c:pt>
                <c:pt idx="292">
                  <c:v>70.099999999999994</c:v>
                </c:pt>
              </c:numCache>
            </c:numRef>
          </c:xVal>
          <c:yVal>
            <c:numRef>
              <c:f>'2013 Meteors'!$D$2:$D$294</c:f>
              <c:numCache>
                <c:formatCode>General</c:formatCode>
                <c:ptCount val="293"/>
                <c:pt idx="0">
                  <c:v>104</c:v>
                </c:pt>
                <c:pt idx="1">
                  <c:v>38</c:v>
                </c:pt>
                <c:pt idx="2">
                  <c:v>82.6</c:v>
                </c:pt>
                <c:pt idx="3">
                  <c:v>83.5</c:v>
                </c:pt>
                <c:pt idx="4">
                  <c:v>71.3</c:v>
                </c:pt>
                <c:pt idx="5">
                  <c:v>90.4</c:v>
                </c:pt>
                <c:pt idx="6">
                  <c:v>87.7</c:v>
                </c:pt>
                <c:pt idx="7">
                  <c:v>76.599999999999994</c:v>
                </c:pt>
                <c:pt idx="8">
                  <c:v>90.9</c:v>
                </c:pt>
                <c:pt idx="9">
                  <c:v>84.4</c:v>
                </c:pt>
                <c:pt idx="10">
                  <c:v>89.1</c:v>
                </c:pt>
                <c:pt idx="11">
                  <c:v>85.7</c:v>
                </c:pt>
                <c:pt idx="12">
                  <c:v>71.5</c:v>
                </c:pt>
                <c:pt idx="13">
                  <c:v>72.8</c:v>
                </c:pt>
                <c:pt idx="14">
                  <c:v>77.5</c:v>
                </c:pt>
                <c:pt idx="15">
                  <c:v>90.7</c:v>
                </c:pt>
                <c:pt idx="16">
                  <c:v>101.2</c:v>
                </c:pt>
                <c:pt idx="17">
                  <c:v>91.1</c:v>
                </c:pt>
                <c:pt idx="18">
                  <c:v>84.3</c:v>
                </c:pt>
                <c:pt idx="19">
                  <c:v>82</c:v>
                </c:pt>
                <c:pt idx="20">
                  <c:v>97.3</c:v>
                </c:pt>
                <c:pt idx="21">
                  <c:v>85.9</c:v>
                </c:pt>
                <c:pt idx="22">
                  <c:v>74.2</c:v>
                </c:pt>
                <c:pt idx="23">
                  <c:v>76.400000000000006</c:v>
                </c:pt>
                <c:pt idx="24">
                  <c:v>75.7</c:v>
                </c:pt>
                <c:pt idx="25">
                  <c:v>94.1</c:v>
                </c:pt>
                <c:pt idx="26">
                  <c:v>81.599999999999994</c:v>
                </c:pt>
                <c:pt idx="27">
                  <c:v>98.4</c:v>
                </c:pt>
                <c:pt idx="28">
                  <c:v>99.3</c:v>
                </c:pt>
                <c:pt idx="29">
                  <c:v>86.4</c:v>
                </c:pt>
                <c:pt idx="30">
                  <c:v>101.3</c:v>
                </c:pt>
                <c:pt idx="31">
                  <c:v>94.5</c:v>
                </c:pt>
                <c:pt idx="32">
                  <c:v>100.2</c:v>
                </c:pt>
                <c:pt idx="33">
                  <c:v>74.2</c:v>
                </c:pt>
                <c:pt idx="34">
                  <c:v>82.8</c:v>
                </c:pt>
                <c:pt idx="35">
                  <c:v>84.2</c:v>
                </c:pt>
                <c:pt idx="36">
                  <c:v>79.2</c:v>
                </c:pt>
                <c:pt idx="37">
                  <c:v>80.099999999999994</c:v>
                </c:pt>
                <c:pt idx="38">
                  <c:v>65.400000000000006</c:v>
                </c:pt>
                <c:pt idx="39">
                  <c:v>87.3</c:v>
                </c:pt>
                <c:pt idx="40">
                  <c:v>83.5</c:v>
                </c:pt>
                <c:pt idx="41">
                  <c:v>91.2</c:v>
                </c:pt>
                <c:pt idx="42">
                  <c:v>94.2</c:v>
                </c:pt>
                <c:pt idx="43">
                  <c:v>88.3</c:v>
                </c:pt>
                <c:pt idx="44">
                  <c:v>76.900000000000006</c:v>
                </c:pt>
                <c:pt idx="45">
                  <c:v>82.4</c:v>
                </c:pt>
                <c:pt idx="46">
                  <c:v>81.5</c:v>
                </c:pt>
                <c:pt idx="47">
                  <c:v>75.8</c:v>
                </c:pt>
                <c:pt idx="48">
                  <c:v>90.8</c:v>
                </c:pt>
                <c:pt idx="49">
                  <c:v>82.4</c:v>
                </c:pt>
                <c:pt idx="50">
                  <c:v>89.7</c:v>
                </c:pt>
                <c:pt idx="51">
                  <c:v>73.7</c:v>
                </c:pt>
                <c:pt idx="52">
                  <c:v>91.7</c:v>
                </c:pt>
                <c:pt idx="53">
                  <c:v>88.3</c:v>
                </c:pt>
                <c:pt idx="54">
                  <c:v>94.6</c:v>
                </c:pt>
                <c:pt idx="55">
                  <c:v>82.8</c:v>
                </c:pt>
                <c:pt idx="56">
                  <c:v>92.4</c:v>
                </c:pt>
                <c:pt idx="57">
                  <c:v>76</c:v>
                </c:pt>
                <c:pt idx="58">
                  <c:v>65.400000000000006</c:v>
                </c:pt>
                <c:pt idx="59">
                  <c:v>48.5</c:v>
                </c:pt>
                <c:pt idx="60">
                  <c:v>82.6</c:v>
                </c:pt>
                <c:pt idx="61">
                  <c:v>85.9</c:v>
                </c:pt>
                <c:pt idx="62">
                  <c:v>83.9</c:v>
                </c:pt>
                <c:pt idx="63">
                  <c:v>82.2</c:v>
                </c:pt>
                <c:pt idx="64">
                  <c:v>82</c:v>
                </c:pt>
                <c:pt idx="65">
                  <c:v>65.400000000000006</c:v>
                </c:pt>
                <c:pt idx="66">
                  <c:v>90.4</c:v>
                </c:pt>
                <c:pt idx="67">
                  <c:v>67.099999999999994</c:v>
                </c:pt>
                <c:pt idx="68">
                  <c:v>107.3</c:v>
                </c:pt>
                <c:pt idx="69">
                  <c:v>97.6</c:v>
                </c:pt>
                <c:pt idx="70">
                  <c:v>89.5</c:v>
                </c:pt>
                <c:pt idx="71">
                  <c:v>103.6</c:v>
                </c:pt>
                <c:pt idx="72">
                  <c:v>58.9</c:v>
                </c:pt>
                <c:pt idx="73">
                  <c:v>93.7</c:v>
                </c:pt>
                <c:pt idx="74">
                  <c:v>99.2</c:v>
                </c:pt>
                <c:pt idx="75">
                  <c:v>95.8</c:v>
                </c:pt>
                <c:pt idx="76">
                  <c:v>57.4</c:v>
                </c:pt>
                <c:pt idx="77">
                  <c:v>92.5</c:v>
                </c:pt>
                <c:pt idx="78">
                  <c:v>72.8</c:v>
                </c:pt>
                <c:pt idx="79">
                  <c:v>72.7</c:v>
                </c:pt>
                <c:pt idx="80">
                  <c:v>28.6</c:v>
                </c:pt>
                <c:pt idx="81">
                  <c:v>80.3</c:v>
                </c:pt>
                <c:pt idx="82">
                  <c:v>87</c:v>
                </c:pt>
                <c:pt idx="83">
                  <c:v>95</c:v>
                </c:pt>
                <c:pt idx="84">
                  <c:v>77.3</c:v>
                </c:pt>
                <c:pt idx="85">
                  <c:v>91</c:v>
                </c:pt>
                <c:pt idx="86">
                  <c:v>91.2</c:v>
                </c:pt>
                <c:pt idx="87">
                  <c:v>29</c:v>
                </c:pt>
                <c:pt idx="88">
                  <c:v>85.3</c:v>
                </c:pt>
                <c:pt idx="89">
                  <c:v>76.900000000000006</c:v>
                </c:pt>
                <c:pt idx="90">
                  <c:v>127.6</c:v>
                </c:pt>
                <c:pt idx="91">
                  <c:v>46.3</c:v>
                </c:pt>
                <c:pt idx="92">
                  <c:v>66.599999999999994</c:v>
                </c:pt>
                <c:pt idx="93">
                  <c:v>70.7</c:v>
                </c:pt>
                <c:pt idx="94">
                  <c:v>93</c:v>
                </c:pt>
                <c:pt idx="95">
                  <c:v>97.9</c:v>
                </c:pt>
                <c:pt idx="96">
                  <c:v>70</c:v>
                </c:pt>
                <c:pt idx="97">
                  <c:v>82.5</c:v>
                </c:pt>
                <c:pt idx="98">
                  <c:v>89.4</c:v>
                </c:pt>
                <c:pt idx="99">
                  <c:v>87.8</c:v>
                </c:pt>
                <c:pt idx="100">
                  <c:v>83.5</c:v>
                </c:pt>
                <c:pt idx="101">
                  <c:v>72.900000000000006</c:v>
                </c:pt>
                <c:pt idx="102">
                  <c:v>78.7</c:v>
                </c:pt>
                <c:pt idx="103">
                  <c:v>94.1</c:v>
                </c:pt>
                <c:pt idx="104">
                  <c:v>87.7</c:v>
                </c:pt>
                <c:pt idx="105">
                  <c:v>72.8</c:v>
                </c:pt>
                <c:pt idx="106">
                  <c:v>82.6</c:v>
                </c:pt>
                <c:pt idx="107">
                  <c:v>89.8</c:v>
                </c:pt>
                <c:pt idx="108">
                  <c:v>97.9</c:v>
                </c:pt>
                <c:pt idx="109">
                  <c:v>74</c:v>
                </c:pt>
                <c:pt idx="110">
                  <c:v>81.900000000000006</c:v>
                </c:pt>
                <c:pt idx="111">
                  <c:v>73.3</c:v>
                </c:pt>
                <c:pt idx="112">
                  <c:v>53.2</c:v>
                </c:pt>
                <c:pt idx="113">
                  <c:v>97</c:v>
                </c:pt>
                <c:pt idx="114">
                  <c:v>90.6</c:v>
                </c:pt>
                <c:pt idx="115">
                  <c:v>97.6</c:v>
                </c:pt>
                <c:pt idx="116">
                  <c:v>104.4</c:v>
                </c:pt>
                <c:pt idx="117">
                  <c:v>56.5</c:v>
                </c:pt>
                <c:pt idx="118">
                  <c:v>81.2</c:v>
                </c:pt>
                <c:pt idx="119">
                  <c:v>82.4</c:v>
                </c:pt>
                <c:pt idx="120">
                  <c:v>88.5</c:v>
                </c:pt>
                <c:pt idx="121">
                  <c:v>82.4</c:v>
                </c:pt>
                <c:pt idx="122">
                  <c:v>98.3</c:v>
                </c:pt>
                <c:pt idx="123">
                  <c:v>87.4</c:v>
                </c:pt>
                <c:pt idx="124">
                  <c:v>87.1</c:v>
                </c:pt>
                <c:pt idx="125">
                  <c:v>98.4</c:v>
                </c:pt>
                <c:pt idx="126">
                  <c:v>78.099999999999994</c:v>
                </c:pt>
                <c:pt idx="127">
                  <c:v>72.400000000000006</c:v>
                </c:pt>
                <c:pt idx="128">
                  <c:v>94.3</c:v>
                </c:pt>
                <c:pt idx="129">
                  <c:v>78.2</c:v>
                </c:pt>
                <c:pt idx="130">
                  <c:v>78.3</c:v>
                </c:pt>
                <c:pt idx="131">
                  <c:v>51.3</c:v>
                </c:pt>
                <c:pt idx="132">
                  <c:v>70.3</c:v>
                </c:pt>
                <c:pt idx="133">
                  <c:v>82.9</c:v>
                </c:pt>
                <c:pt idx="134">
                  <c:v>36.9</c:v>
                </c:pt>
                <c:pt idx="135">
                  <c:v>93.7</c:v>
                </c:pt>
                <c:pt idx="136">
                  <c:v>94.1</c:v>
                </c:pt>
                <c:pt idx="137">
                  <c:v>37</c:v>
                </c:pt>
                <c:pt idx="138">
                  <c:v>90.3</c:v>
                </c:pt>
                <c:pt idx="139">
                  <c:v>70.599999999999994</c:v>
                </c:pt>
                <c:pt idx="140">
                  <c:v>90.8</c:v>
                </c:pt>
                <c:pt idx="141">
                  <c:v>74.7</c:v>
                </c:pt>
                <c:pt idx="142">
                  <c:v>96</c:v>
                </c:pt>
                <c:pt idx="143">
                  <c:v>70.5</c:v>
                </c:pt>
                <c:pt idx="144">
                  <c:v>76.400000000000006</c:v>
                </c:pt>
                <c:pt idx="145">
                  <c:v>94.1</c:v>
                </c:pt>
                <c:pt idx="146">
                  <c:v>85.4</c:v>
                </c:pt>
                <c:pt idx="147">
                  <c:v>69.2</c:v>
                </c:pt>
                <c:pt idx="148">
                  <c:v>82.8</c:v>
                </c:pt>
                <c:pt idx="149">
                  <c:v>55.3</c:v>
                </c:pt>
                <c:pt idx="150">
                  <c:v>85</c:v>
                </c:pt>
                <c:pt idx="151">
                  <c:v>84.9</c:v>
                </c:pt>
                <c:pt idx="152">
                  <c:v>88.2</c:v>
                </c:pt>
                <c:pt idx="153">
                  <c:v>77.5</c:v>
                </c:pt>
                <c:pt idx="154">
                  <c:v>88.9</c:v>
                </c:pt>
                <c:pt idx="155">
                  <c:v>87.5</c:v>
                </c:pt>
                <c:pt idx="156">
                  <c:v>78.7</c:v>
                </c:pt>
                <c:pt idx="157">
                  <c:v>74.400000000000006</c:v>
                </c:pt>
                <c:pt idx="158">
                  <c:v>80.400000000000006</c:v>
                </c:pt>
                <c:pt idx="159">
                  <c:v>91.6</c:v>
                </c:pt>
                <c:pt idx="160">
                  <c:v>67.2</c:v>
                </c:pt>
                <c:pt idx="161">
                  <c:v>79.7</c:v>
                </c:pt>
                <c:pt idx="162">
                  <c:v>82.5</c:v>
                </c:pt>
                <c:pt idx="163">
                  <c:v>66.400000000000006</c:v>
                </c:pt>
                <c:pt idx="164">
                  <c:v>94.7</c:v>
                </c:pt>
                <c:pt idx="165">
                  <c:v>93.5</c:v>
                </c:pt>
                <c:pt idx="166">
                  <c:v>89.7</c:v>
                </c:pt>
                <c:pt idx="167">
                  <c:v>89.4</c:v>
                </c:pt>
                <c:pt idx="168">
                  <c:v>77.400000000000006</c:v>
                </c:pt>
                <c:pt idx="169">
                  <c:v>98.2</c:v>
                </c:pt>
                <c:pt idx="170">
                  <c:v>74.3</c:v>
                </c:pt>
                <c:pt idx="171">
                  <c:v>85</c:v>
                </c:pt>
                <c:pt idx="172">
                  <c:v>58.1</c:v>
                </c:pt>
                <c:pt idx="173">
                  <c:v>86.7</c:v>
                </c:pt>
                <c:pt idx="174">
                  <c:v>81.2</c:v>
                </c:pt>
                <c:pt idx="175">
                  <c:v>88.8</c:v>
                </c:pt>
                <c:pt idx="176">
                  <c:v>45.2</c:v>
                </c:pt>
                <c:pt idx="177">
                  <c:v>28.8</c:v>
                </c:pt>
                <c:pt idx="178">
                  <c:v>88.5</c:v>
                </c:pt>
                <c:pt idx="179">
                  <c:v>88.1</c:v>
                </c:pt>
                <c:pt idx="180">
                  <c:v>81.2</c:v>
                </c:pt>
                <c:pt idx="181">
                  <c:v>74.900000000000006</c:v>
                </c:pt>
                <c:pt idx="182">
                  <c:v>79</c:v>
                </c:pt>
                <c:pt idx="183">
                  <c:v>86.2</c:v>
                </c:pt>
                <c:pt idx="184">
                  <c:v>73.900000000000006</c:v>
                </c:pt>
                <c:pt idx="185">
                  <c:v>70.099999999999994</c:v>
                </c:pt>
                <c:pt idx="186">
                  <c:v>91.3</c:v>
                </c:pt>
                <c:pt idx="187">
                  <c:v>44.5</c:v>
                </c:pt>
                <c:pt idx="188">
                  <c:v>70.099999999999994</c:v>
                </c:pt>
                <c:pt idx="189">
                  <c:v>74.599999999999994</c:v>
                </c:pt>
                <c:pt idx="190">
                  <c:v>80.2</c:v>
                </c:pt>
                <c:pt idx="191">
                  <c:v>67.900000000000006</c:v>
                </c:pt>
                <c:pt idx="192">
                  <c:v>67.599999999999994</c:v>
                </c:pt>
                <c:pt idx="193">
                  <c:v>99</c:v>
                </c:pt>
                <c:pt idx="194">
                  <c:v>67.2</c:v>
                </c:pt>
                <c:pt idx="195">
                  <c:v>96.7</c:v>
                </c:pt>
                <c:pt idx="196">
                  <c:v>88</c:v>
                </c:pt>
                <c:pt idx="197">
                  <c:v>80.8</c:v>
                </c:pt>
                <c:pt idx="198">
                  <c:v>71.7</c:v>
                </c:pt>
                <c:pt idx="199">
                  <c:v>94.9</c:v>
                </c:pt>
                <c:pt idx="200">
                  <c:v>91.5</c:v>
                </c:pt>
                <c:pt idx="201">
                  <c:v>90.5</c:v>
                </c:pt>
                <c:pt idx="202">
                  <c:v>88.2</c:v>
                </c:pt>
                <c:pt idx="203">
                  <c:v>93.6</c:v>
                </c:pt>
                <c:pt idx="204">
                  <c:v>82.5</c:v>
                </c:pt>
                <c:pt idx="205">
                  <c:v>86</c:v>
                </c:pt>
                <c:pt idx="206">
                  <c:v>49.9</c:v>
                </c:pt>
                <c:pt idx="207">
                  <c:v>82.2</c:v>
                </c:pt>
                <c:pt idx="208">
                  <c:v>87.9</c:v>
                </c:pt>
                <c:pt idx="209">
                  <c:v>96.6</c:v>
                </c:pt>
                <c:pt idx="210">
                  <c:v>80.900000000000006</c:v>
                </c:pt>
                <c:pt idx="211">
                  <c:v>96</c:v>
                </c:pt>
                <c:pt idx="212">
                  <c:v>68.8</c:v>
                </c:pt>
                <c:pt idx="213">
                  <c:v>94.1</c:v>
                </c:pt>
                <c:pt idx="214">
                  <c:v>89.4</c:v>
                </c:pt>
                <c:pt idx="215">
                  <c:v>80.099999999999994</c:v>
                </c:pt>
                <c:pt idx="216">
                  <c:v>90.1</c:v>
                </c:pt>
                <c:pt idx="217">
                  <c:v>74.8</c:v>
                </c:pt>
                <c:pt idx="218">
                  <c:v>95.7</c:v>
                </c:pt>
                <c:pt idx="219">
                  <c:v>73.8</c:v>
                </c:pt>
                <c:pt idx="220">
                  <c:v>80.5</c:v>
                </c:pt>
                <c:pt idx="221">
                  <c:v>85.3</c:v>
                </c:pt>
                <c:pt idx="222">
                  <c:v>49.3</c:v>
                </c:pt>
                <c:pt idx="223">
                  <c:v>48.1</c:v>
                </c:pt>
                <c:pt idx="224">
                  <c:v>91.5</c:v>
                </c:pt>
                <c:pt idx="225">
                  <c:v>81.3</c:v>
                </c:pt>
                <c:pt idx="226">
                  <c:v>89.4</c:v>
                </c:pt>
                <c:pt idx="227">
                  <c:v>90.8</c:v>
                </c:pt>
                <c:pt idx="228">
                  <c:v>84.4</c:v>
                </c:pt>
                <c:pt idx="229">
                  <c:v>80.900000000000006</c:v>
                </c:pt>
                <c:pt idx="230">
                  <c:v>73</c:v>
                </c:pt>
                <c:pt idx="231">
                  <c:v>86.4</c:v>
                </c:pt>
                <c:pt idx="232">
                  <c:v>71.2</c:v>
                </c:pt>
                <c:pt idx="233">
                  <c:v>89.8</c:v>
                </c:pt>
                <c:pt idx="234">
                  <c:v>84</c:v>
                </c:pt>
                <c:pt idx="235">
                  <c:v>76.599999999999994</c:v>
                </c:pt>
                <c:pt idx="236">
                  <c:v>91.8</c:v>
                </c:pt>
                <c:pt idx="237">
                  <c:v>65.599999999999994</c:v>
                </c:pt>
                <c:pt idx="238">
                  <c:v>78.400000000000006</c:v>
                </c:pt>
                <c:pt idx="239">
                  <c:v>55.2</c:v>
                </c:pt>
                <c:pt idx="240">
                  <c:v>94.7</c:v>
                </c:pt>
                <c:pt idx="241">
                  <c:v>61.6</c:v>
                </c:pt>
                <c:pt idx="242">
                  <c:v>64.7</c:v>
                </c:pt>
                <c:pt idx="243">
                  <c:v>103.3</c:v>
                </c:pt>
                <c:pt idx="244">
                  <c:v>68.5</c:v>
                </c:pt>
                <c:pt idx="245">
                  <c:v>65.400000000000006</c:v>
                </c:pt>
                <c:pt idx="246">
                  <c:v>31</c:v>
                </c:pt>
                <c:pt idx="247">
                  <c:v>52.6</c:v>
                </c:pt>
                <c:pt idx="248">
                  <c:v>57.9</c:v>
                </c:pt>
                <c:pt idx="249">
                  <c:v>49.4</c:v>
                </c:pt>
                <c:pt idx="250">
                  <c:v>93.5</c:v>
                </c:pt>
                <c:pt idx="251">
                  <c:v>93.9</c:v>
                </c:pt>
                <c:pt idx="252">
                  <c:v>77.5</c:v>
                </c:pt>
                <c:pt idx="253">
                  <c:v>73.2</c:v>
                </c:pt>
                <c:pt idx="254">
                  <c:v>86.8</c:v>
                </c:pt>
                <c:pt idx="255">
                  <c:v>67.5</c:v>
                </c:pt>
                <c:pt idx="256">
                  <c:v>68.5</c:v>
                </c:pt>
                <c:pt idx="257">
                  <c:v>61.3</c:v>
                </c:pt>
                <c:pt idx="258">
                  <c:v>64.5</c:v>
                </c:pt>
                <c:pt idx="259">
                  <c:v>76.2</c:v>
                </c:pt>
                <c:pt idx="260">
                  <c:v>93.9</c:v>
                </c:pt>
                <c:pt idx="261">
                  <c:v>87.5</c:v>
                </c:pt>
                <c:pt idx="262">
                  <c:v>81.900000000000006</c:v>
                </c:pt>
                <c:pt idx="263">
                  <c:v>34.700000000000003</c:v>
                </c:pt>
                <c:pt idx="264">
                  <c:v>63.9</c:v>
                </c:pt>
                <c:pt idx="265">
                  <c:v>89.5</c:v>
                </c:pt>
                <c:pt idx="266">
                  <c:v>87.5</c:v>
                </c:pt>
                <c:pt idx="267">
                  <c:v>52.7</c:v>
                </c:pt>
                <c:pt idx="268">
                  <c:v>96.9</c:v>
                </c:pt>
                <c:pt idx="269">
                  <c:v>81.099999999999994</c:v>
                </c:pt>
                <c:pt idx="270">
                  <c:v>72.099999999999994</c:v>
                </c:pt>
                <c:pt idx="271">
                  <c:v>101.8</c:v>
                </c:pt>
                <c:pt idx="272">
                  <c:v>89.4</c:v>
                </c:pt>
                <c:pt idx="273">
                  <c:v>56.3</c:v>
                </c:pt>
                <c:pt idx="274">
                  <c:v>40.799999999999997</c:v>
                </c:pt>
                <c:pt idx="275">
                  <c:v>94.9</c:v>
                </c:pt>
                <c:pt idx="276">
                  <c:v>70.3</c:v>
                </c:pt>
                <c:pt idx="277">
                  <c:v>47.5</c:v>
                </c:pt>
                <c:pt idx="278">
                  <c:v>82.8</c:v>
                </c:pt>
                <c:pt idx="279">
                  <c:v>72.099999999999994</c:v>
                </c:pt>
                <c:pt idx="280">
                  <c:v>87.8</c:v>
                </c:pt>
                <c:pt idx="281">
                  <c:v>55.5</c:v>
                </c:pt>
                <c:pt idx="282">
                  <c:v>76.099999999999994</c:v>
                </c:pt>
                <c:pt idx="283">
                  <c:v>75.599999999999994</c:v>
                </c:pt>
                <c:pt idx="284">
                  <c:v>91.6</c:v>
                </c:pt>
                <c:pt idx="285">
                  <c:v>85.4</c:v>
                </c:pt>
                <c:pt idx="286">
                  <c:v>81.099999999999994</c:v>
                </c:pt>
                <c:pt idx="287">
                  <c:v>86.4</c:v>
                </c:pt>
                <c:pt idx="288">
                  <c:v>83.4</c:v>
                </c:pt>
                <c:pt idx="289">
                  <c:v>96</c:v>
                </c:pt>
                <c:pt idx="290">
                  <c:v>69.8</c:v>
                </c:pt>
                <c:pt idx="291">
                  <c:v>69</c:v>
                </c:pt>
                <c:pt idx="292">
                  <c:v>100.5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E-4870-B713-828EF590E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04096"/>
        <c:axId val="168406016"/>
      </c:scatterChart>
      <c:valAx>
        <c:axId val="16840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Meteor</a:t>
                </a:r>
                <a:r>
                  <a:rPr lang="en-US" baseline="0"/>
                  <a:t> Vel (km/s)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6016"/>
        <c:crosses val="autoZero"/>
        <c:crossBetween val="midCat"/>
      </c:valAx>
      <c:valAx>
        <c:axId val="168406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Meteor</a:t>
                </a:r>
                <a:r>
                  <a:rPr lang="en-US" baseline="0"/>
                  <a:t> Burnout Alt (km)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84040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</a:t>
            </a:r>
            <a:r>
              <a:rPr lang="en-US" baseline="0"/>
              <a:t> Fall Time for Spherical Meteorites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 gm Carbonaceous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Spherical!$P$3:$P$33</c:f>
              <c:numCache>
                <c:formatCode>General</c:formatCode>
                <c:ptCount val="31"/>
                <c:pt idx="0">
                  <c:v>459.01582910311322</c:v>
                </c:pt>
                <c:pt idx="1">
                  <c:v>454.79252377700959</c:v>
                </c:pt>
                <c:pt idx="2">
                  <c:v>450.22737960342107</c:v>
                </c:pt>
                <c:pt idx="3">
                  <c:v>445.29101398418072</c:v>
                </c:pt>
                <c:pt idx="4">
                  <c:v>439.95139951343185</c:v>
                </c:pt>
                <c:pt idx="5">
                  <c:v>434.17353628764567</c:v>
                </c:pt>
                <c:pt idx="6">
                  <c:v>427.91922635535201</c:v>
                </c:pt>
                <c:pt idx="7">
                  <c:v>421.14676589937147</c:v>
                </c:pt>
                <c:pt idx="8">
                  <c:v>413.81054432338033</c:v>
                </c:pt>
                <c:pt idx="9">
                  <c:v>405.86071033922696</c:v>
                </c:pt>
                <c:pt idx="10">
                  <c:v>397.24276162150147</c:v>
                </c:pt>
                <c:pt idx="11">
                  <c:v>387.90829059548213</c:v>
                </c:pt>
                <c:pt idx="12">
                  <c:v>377.80885463580989</c:v>
                </c:pt>
                <c:pt idx="13">
                  <c:v>366.8817433161849</c:v>
                </c:pt>
                <c:pt idx="14">
                  <c:v>355.05913760010833</c:v>
                </c:pt>
                <c:pt idx="15">
                  <c:v>342.26765891630805</c:v>
                </c:pt>
                <c:pt idx="16">
                  <c:v>328.42791488750197</c:v>
                </c:pt>
                <c:pt idx="17">
                  <c:v>313.45399807041127</c:v>
                </c:pt>
                <c:pt idx="18">
                  <c:v>297.25294608226221</c:v>
                </c:pt>
                <c:pt idx="19">
                  <c:v>279.72416108987767</c:v>
                </c:pt>
                <c:pt idx="20">
                  <c:v>260.90409044267255</c:v>
                </c:pt>
                <c:pt idx="21">
                  <c:v>240.88126019384356</c:v>
                </c:pt>
                <c:pt idx="22">
                  <c:v>219.61622300060691</c:v>
                </c:pt>
                <c:pt idx="23">
                  <c:v>197.06939717398541</c:v>
                </c:pt>
                <c:pt idx="24">
                  <c:v>173.2010701776573</c:v>
                </c:pt>
                <c:pt idx="25">
                  <c:v>147.97140195223079</c:v>
                </c:pt>
                <c:pt idx="26">
                  <c:v>121.34042807800711</c:v>
                </c:pt>
                <c:pt idx="27">
                  <c:v>93.268062788009644</c:v>
                </c:pt>
                <c:pt idx="28">
                  <c:v>63.714101841927977</c:v>
                </c:pt>
                <c:pt idx="29">
                  <c:v>32.638225270628311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7-49AE-9B41-6FDAB7D2AD9B}"/>
            </c:ext>
          </c:extLst>
        </c:ser>
        <c:ser>
          <c:idx val="1"/>
          <c:order val="1"/>
          <c:tx>
            <c:v>100 gm Carbonaceous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Spherical!$Q$3:$Q$33</c:f>
              <c:numCache>
                <c:formatCode>General</c:formatCode>
                <c:ptCount val="31"/>
                <c:pt idx="0">
                  <c:v>312.72144370502252</c:v>
                </c:pt>
                <c:pt idx="1">
                  <c:v>309.8441613651807</c:v>
                </c:pt>
                <c:pt idx="2">
                  <c:v>306.73398871715756</c:v>
                </c:pt>
                <c:pt idx="3">
                  <c:v>303.37090778349784</c:v>
                </c:pt>
                <c:pt idx="4">
                  <c:v>299.73309871407309</c:v>
                </c:pt>
                <c:pt idx="5">
                  <c:v>295.79671653520899</c:v>
                </c:pt>
                <c:pt idx="6">
                  <c:v>291.5357374852552</c:v>
                </c:pt>
                <c:pt idx="7">
                  <c:v>286.92174930239094</c:v>
                </c:pt>
                <c:pt idx="8">
                  <c:v>281.92367808757774</c:v>
                </c:pt>
                <c:pt idx="9">
                  <c:v>276.50756081424248</c:v>
                </c:pt>
                <c:pt idx="10">
                  <c:v>270.63626576533568</c:v>
                </c:pt>
                <c:pt idx="11">
                  <c:v>264.27681349724469</c:v>
                </c:pt>
                <c:pt idx="12">
                  <c:v>257.39620068681887</c:v>
                </c:pt>
                <c:pt idx="13">
                  <c:v>249.95170354589129</c:v>
                </c:pt>
                <c:pt idx="14">
                  <c:v>241.89711785739604</c:v>
                </c:pt>
                <c:pt idx="15">
                  <c:v>233.18245176638973</c:v>
                </c:pt>
                <c:pt idx="16">
                  <c:v>223.75361629103631</c:v>
                </c:pt>
                <c:pt idx="17">
                  <c:v>213.55208382077458</c:v>
                </c:pt>
                <c:pt idx="18">
                  <c:v>202.51452030760873</c:v>
                </c:pt>
                <c:pt idx="19">
                  <c:v>190.57238977166583</c:v>
                </c:pt>
                <c:pt idx="20">
                  <c:v>177.75052331245402</c:v>
                </c:pt>
                <c:pt idx="21">
                  <c:v>164.10923256501053</c:v>
                </c:pt>
                <c:pt idx="22">
                  <c:v>149.62164257382506</c:v>
                </c:pt>
                <c:pt idx="23">
                  <c:v>134.26078685509373</c:v>
                </c:pt>
                <c:pt idx="24">
                  <c:v>117.99960978043875</c:v>
                </c:pt>
                <c:pt idx="25">
                  <c:v>100.81096884169297</c:v>
                </c:pt>
                <c:pt idx="26">
                  <c:v>82.667636805648627</c:v>
                </c:pt>
                <c:pt idx="27">
                  <c:v>63.542303766794539</c:v>
                </c:pt>
                <c:pt idx="28">
                  <c:v>43.407579105296307</c:v>
                </c:pt>
                <c:pt idx="29">
                  <c:v>22.235993356795131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7-49AE-9B41-6FDAB7D2AD9B}"/>
            </c:ext>
          </c:extLst>
        </c:ser>
        <c:ser>
          <c:idx val="2"/>
          <c:order val="2"/>
          <c:tx>
            <c:v>1 kg Carbonaceousg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Spherical!$R$3:$R$33</c:f>
              <c:numCache>
                <c:formatCode>General</c:formatCode>
                <c:ptCount val="31"/>
                <c:pt idx="0">
                  <c:v>213.053004172074</c:v>
                </c:pt>
                <c:pt idx="1">
                  <c:v>211.09274957906698</c:v>
                </c:pt>
                <c:pt idx="2">
                  <c:v>208.97382988393989</c:v>
                </c:pt>
                <c:pt idx="3">
                  <c:v>206.68260710208972</c:v>
                </c:pt>
                <c:pt idx="4">
                  <c:v>204.20421565677384</c:v>
                </c:pt>
                <c:pt idx="5">
                  <c:v>201.52241028122856</c:v>
                </c:pt>
                <c:pt idx="6">
                  <c:v>198.61946132911504</c:v>
                </c:pt>
                <c:pt idx="7">
                  <c:v>195.47601190036102</c:v>
                </c:pt>
                <c:pt idx="8">
                  <c:v>192.07089175648514</c:v>
                </c:pt>
                <c:pt idx="9">
                  <c:v>188.38096233443761</c:v>
                </c:pt>
                <c:pt idx="10">
                  <c:v>184.38092628404723</c:v>
                </c:pt>
                <c:pt idx="11">
                  <c:v>180.04831514439118</c:v>
                </c:pt>
                <c:pt idx="12">
                  <c:v>175.36064418573176</c:v>
                </c:pt>
                <c:pt idx="13">
                  <c:v>170.28880625343726</c:v>
                </c:pt>
                <c:pt idx="14">
                  <c:v>164.8013230224696</c:v>
                </c:pt>
                <c:pt idx="15">
                  <c:v>158.86413569995028</c:v>
                </c:pt>
                <c:pt idx="16">
                  <c:v>152.44039417436713</c:v>
                </c:pt>
                <c:pt idx="17">
                  <c:v>145.49022435486998</c:v>
                </c:pt>
                <c:pt idx="18">
                  <c:v>137.9704775880374</c:v>
                </c:pt>
                <c:pt idx="19">
                  <c:v>129.83446121271766</c:v>
                </c:pt>
                <c:pt idx="20">
                  <c:v>121.09909233022758</c:v>
                </c:pt>
                <c:pt idx="21">
                  <c:v>111.80546046381498</c:v>
                </c:pt>
                <c:pt idx="22">
                  <c:v>101.93525605996597</c:v>
                </c:pt>
                <c:pt idx="23">
                  <c:v>91.470107208144739</c:v>
                </c:pt>
                <c:pt idx="24">
                  <c:v>80.391581264790446</c:v>
                </c:pt>
                <c:pt idx="25">
                  <c:v>68.681186396285085</c:v>
                </c:pt>
                <c:pt idx="26">
                  <c:v>56.32037304695546</c:v>
                </c:pt>
                <c:pt idx="27">
                  <c:v>43.290535337576017</c:v>
                </c:pt>
                <c:pt idx="28">
                  <c:v>29.573012399315012</c:v>
                </c:pt>
                <c:pt idx="29">
                  <c:v>15.149089647603834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7-49AE-9B41-6FDAB7D2AD9B}"/>
            </c:ext>
          </c:extLst>
        </c:ser>
        <c:ser>
          <c:idx val="3"/>
          <c:order val="3"/>
          <c:tx>
            <c:v>10 kg Carbonaceous</c:v>
          </c:tx>
          <c:spPr>
            <a:ln>
              <a:solidFill>
                <a:srgbClr val="00B0F0"/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Spherical!$S$3:$S$33</c:f>
              <c:numCache>
                <c:formatCode>General</c:formatCode>
                <c:ptCount val="31"/>
                <c:pt idx="0">
                  <c:v>145.15020795811435</c:v>
                </c:pt>
                <c:pt idx="1">
                  <c:v>143.81471230091154</c:v>
                </c:pt>
                <c:pt idx="2">
                  <c:v>142.37112019767213</c:v>
                </c:pt>
                <c:pt idx="3">
                  <c:v>140.81014026896239</c:v>
                </c:pt>
                <c:pt idx="4">
                  <c:v>139.12164479297903</c:v>
                </c:pt>
                <c:pt idx="5">
                  <c:v>137.29456608326419</c:v>
                </c:pt>
                <c:pt idx="6">
                  <c:v>135.31682516508991</c:v>
                </c:pt>
                <c:pt idx="7">
                  <c:v>133.1752344371744</c:v>
                </c:pt>
                <c:pt idx="8">
                  <c:v>130.85537089464128</c:v>
                </c:pt>
                <c:pt idx="9">
                  <c:v>128.341470538989</c:v>
                </c:pt>
                <c:pt idx="10">
                  <c:v>125.61629861845985</c:v>
                </c:pt>
                <c:pt idx="11">
                  <c:v>122.66454766631276</c:v>
                </c:pt>
                <c:pt idx="12">
                  <c:v>119.47089913207719</c:v>
                </c:pt>
                <c:pt idx="13">
                  <c:v>116.01552269435365</c:v>
                </c:pt>
                <c:pt idx="14">
                  <c:v>112.27697258454945</c:v>
                </c:pt>
                <c:pt idx="15">
                  <c:v>108.23204499529128</c:v>
                </c:pt>
                <c:pt idx="16">
                  <c:v>103.8556344305545</c:v>
                </c:pt>
                <c:pt idx="17">
                  <c:v>99.120575196987261</c:v>
                </c:pt>
                <c:pt idx="18">
                  <c:v>93.997470684851152</c:v>
                </c:pt>
                <c:pt idx="19">
                  <c:v>88.454509798580403</c:v>
                </c:pt>
                <c:pt idx="20">
                  <c:v>82.503217936672584</c:v>
                </c:pt>
                <c:pt idx="21">
                  <c:v>76.171588850576995</c:v>
                </c:pt>
                <c:pt idx="22">
                  <c:v>69.447148482438934</c:v>
                </c:pt>
                <c:pt idx="23">
                  <c:v>62.317380291385284</c:v>
                </c:pt>
                <c:pt idx="24">
                  <c:v>54.769726359932214</c:v>
                </c:pt>
                <c:pt idx="25">
                  <c:v>46.791588445188893</c:v>
                </c:pt>
                <c:pt idx="26">
                  <c:v>38.370328978987921</c:v>
                </c:pt>
                <c:pt idx="27">
                  <c:v>29.4932720206669</c:v>
                </c:pt>
                <c:pt idx="28">
                  <c:v>20.147704165868383</c:v>
                </c:pt>
                <c:pt idx="29">
                  <c:v>10.320875414410304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7-49AE-9B41-6FDAB7D2AD9B}"/>
            </c:ext>
          </c:extLst>
        </c:ser>
        <c:ser>
          <c:idx val="4"/>
          <c:order val="4"/>
          <c:tx>
            <c:v>10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Spherical!$T$3:$T$33</c:f>
              <c:numCache>
                <c:formatCode>General</c:formatCode>
                <c:ptCount val="31"/>
                <c:pt idx="0">
                  <c:v>397.01740571500949</c:v>
                </c:pt>
                <c:pt idx="1">
                  <c:v>393.36453446787129</c:v>
                </c:pt>
                <c:pt idx="2">
                  <c:v>389.41599591735007</c:v>
                </c:pt>
                <c:pt idx="3">
                  <c:v>385.14637611874542</c:v>
                </c:pt>
                <c:pt idx="4">
                  <c:v>380.52797354897518</c:v>
                </c:pt>
                <c:pt idx="5">
                  <c:v>375.53051567707575</c:v>
                </c:pt>
                <c:pt idx="6">
                  <c:v>370.12096387859293</c:v>
                </c:pt>
                <c:pt idx="7">
                  <c:v>364.26324719419318</c:v>
                </c:pt>
                <c:pt idx="8">
                  <c:v>357.91791556686883</c:v>
                </c:pt>
                <c:pt idx="9">
                  <c:v>351.0418510302261</c:v>
                </c:pt>
                <c:pt idx="10">
                  <c:v>343.58791278765676</c:v>
                </c:pt>
                <c:pt idx="11">
                  <c:v>335.51423158648055</c:v>
                </c:pt>
                <c:pt idx="12">
                  <c:v>326.77890785760491</c:v>
                </c:pt>
                <c:pt idx="13">
                  <c:v>317.32770135661497</c:v>
                </c:pt>
                <c:pt idx="14">
                  <c:v>307.10195323947596</c:v>
                </c:pt>
                <c:pt idx="15">
                  <c:v>296.03819604351133</c:v>
                </c:pt>
                <c:pt idx="16">
                  <c:v>284.06776077374622</c:v>
                </c:pt>
                <c:pt idx="17">
                  <c:v>271.11634334718457</c:v>
                </c:pt>
                <c:pt idx="18">
                  <c:v>257.103537639031</c:v>
                </c:pt>
                <c:pt idx="19">
                  <c:v>241.94233338032257</c:v>
                </c:pt>
                <c:pt idx="20">
                  <c:v>225.66425504405655</c:v>
                </c:pt>
                <c:pt idx="21">
                  <c:v>208.34587163232382</c:v>
                </c:pt>
                <c:pt idx="22">
                  <c:v>189.95306388234218</c:v>
                </c:pt>
                <c:pt idx="23">
                  <c:v>170.45159633102909</c:v>
                </c:pt>
                <c:pt idx="24">
                  <c:v>149.80712034126753</c:v>
                </c:pt>
                <c:pt idx="25">
                  <c:v>127.98517697717693</c:v>
                </c:pt>
                <c:pt idx="26">
                  <c:v>104.95119973968744</c:v>
                </c:pt>
                <c:pt idx="27">
                  <c:v>80.67051717260496</c:v>
                </c:pt>
                <c:pt idx="28">
                  <c:v>55.108355348376776</c:v>
                </c:pt>
                <c:pt idx="29">
                  <c:v>28.229840241906004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7-49AE-9B41-6FDAB7D2AD9B}"/>
            </c:ext>
          </c:extLst>
        </c:ser>
        <c:ser>
          <c:idx val="5"/>
          <c:order val="5"/>
          <c:tx>
            <c:v>100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Spherical!$U$3:$U$33</c:f>
              <c:numCache>
                <c:formatCode>General</c:formatCode>
                <c:ptCount val="31"/>
                <c:pt idx="0">
                  <c:v>270.48273375193361</c:v>
                </c:pt>
                <c:pt idx="1">
                  <c:v>267.99408064316032</c:v>
                </c:pt>
                <c:pt idx="2">
                  <c:v>265.30399329158325</c:v>
                </c:pt>
                <c:pt idx="3">
                  <c:v>262.39515751112646</c:v>
                </c:pt>
                <c:pt idx="4">
                  <c:v>259.24870061866687</c:v>
                </c:pt>
                <c:pt idx="5">
                  <c:v>255.84399833724655</c:v>
                </c:pt>
                <c:pt idx="6">
                  <c:v>252.15854188681411</c:v>
                </c:pt>
                <c:pt idx="7">
                  <c:v>248.16775659747066</c:v>
                </c:pt>
                <c:pt idx="8">
                  <c:v>243.84476566454086</c:v>
                </c:pt>
                <c:pt idx="9">
                  <c:v>239.16019338495443</c:v>
                </c:pt>
                <c:pt idx="10">
                  <c:v>234.0819233543566</c:v>
                </c:pt>
                <c:pt idx="11">
                  <c:v>228.58143060189695</c:v>
                </c:pt>
                <c:pt idx="12">
                  <c:v>222.63016950255243</c:v>
                </c:pt>
                <c:pt idx="13">
                  <c:v>216.19118689160652</c:v>
                </c:pt>
                <c:pt idx="14">
                  <c:v>209.22451927057057</c:v>
                </c:pt>
                <c:pt idx="15">
                  <c:v>201.68692709235691</c:v>
                </c:pt>
                <c:pt idx="16">
                  <c:v>193.53162707437531</c:v>
                </c:pt>
                <c:pt idx="17">
                  <c:v>184.70799682272465</c:v>
                </c:pt>
                <c:pt idx="18">
                  <c:v>175.16125670272902</c:v>
                </c:pt>
                <c:pt idx="19">
                  <c:v>164.83212776320181</c:v>
                </c:pt>
                <c:pt idx="20">
                  <c:v>153.74208721273305</c:v>
                </c:pt>
                <c:pt idx="21">
                  <c:v>141.94330050479675</c:v>
                </c:pt>
                <c:pt idx="22">
                  <c:v>129.41252263466995</c:v>
                </c:pt>
                <c:pt idx="23">
                  <c:v>116.12642943189435</c:v>
                </c:pt>
                <c:pt idx="24">
                  <c:v>102.06161962203126</c:v>
                </c:pt>
                <c:pt idx="25">
                  <c:v>87.194616785545918</c:v>
                </c:pt>
                <c:pt idx="26">
                  <c:v>71.501871221518286</c:v>
                </c:pt>
                <c:pt idx="27">
                  <c:v>54.959761723120792</c:v>
                </c:pt>
                <c:pt idx="28">
                  <c:v>37.544597271137775</c:v>
                </c:pt>
                <c:pt idx="29">
                  <c:v>19.232618651213986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F7-49AE-9B41-6FDAB7D2AD9B}"/>
            </c:ext>
          </c:extLst>
        </c:ser>
        <c:ser>
          <c:idx val="6"/>
          <c:order val="6"/>
          <c:tx>
            <c:v>1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Spherical!$V$3:$V$33</c:f>
              <c:numCache>
                <c:formatCode>General</c:formatCode>
                <c:ptCount val="31"/>
                <c:pt idx="0">
                  <c:v>184.27632694380264</c:v>
                </c:pt>
                <c:pt idx="1">
                  <c:v>182.58084033154955</c:v>
                </c:pt>
                <c:pt idx="2">
                  <c:v>180.74811922055531</c:v>
                </c:pt>
                <c:pt idx="3">
                  <c:v>178.76636768370159</c:v>
                </c:pt>
                <c:pt idx="4">
                  <c:v>176.62272801034177</c:v>
                </c:pt>
                <c:pt idx="5">
                  <c:v>174.30314915200054</c:v>
                </c:pt>
                <c:pt idx="6">
                  <c:v>171.79229617304517</c:v>
                </c:pt>
                <c:pt idx="7">
                  <c:v>169.07342667427699</c:v>
                </c:pt>
                <c:pt idx="8">
                  <c:v>166.12822984237027</c:v>
                </c:pt>
                <c:pt idx="9">
                  <c:v>162.93669239740842</c:v>
                </c:pt>
                <c:pt idx="10">
                  <c:v>159.47693385575744</c:v>
                </c:pt>
                <c:pt idx="11">
                  <c:v>155.72952053016647</c:v>
                </c:pt>
                <c:pt idx="12">
                  <c:v>151.67500466196864</c:v>
                </c:pt>
                <c:pt idx="13">
                  <c:v>147.28821054634741</c:v>
                </c:pt>
                <c:pt idx="14">
                  <c:v>142.54191157770336</c:v>
                </c:pt>
                <c:pt idx="15">
                  <c:v>137.4066492216395</c:v>
                </c:pt>
                <c:pt idx="16">
                  <c:v>131.85055064339656</c:v>
                </c:pt>
                <c:pt idx="17">
                  <c:v>125.83912747220205</c:v>
                </c:pt>
                <c:pt idx="18">
                  <c:v>119.33505906385301</c:v>
                </c:pt>
                <c:pt idx="19">
                  <c:v>112.29795944901889</c:v>
                </c:pt>
                <c:pt idx="20">
                  <c:v>104.74246076727134</c:v>
                </c:pt>
                <c:pt idx="21">
                  <c:v>96.704102655563148</c:v>
                </c:pt>
                <c:pt idx="22">
                  <c:v>88.167048598081578</c:v>
                </c:pt>
                <c:pt idx="23">
                  <c:v>79.11540814444021</c:v>
                </c:pt>
                <c:pt idx="24">
                  <c:v>69.533238314325487</c:v>
                </c:pt>
                <c:pt idx="25">
                  <c:v>59.404544932058798</c:v>
                </c:pt>
                <c:pt idx="26">
                  <c:v>48.713283896318138</c:v>
                </c:pt>
                <c:pt idx="27">
                  <c:v>37.443362389747719</c:v>
                </c:pt>
                <c:pt idx="28">
                  <c:v>25.578640032730462</c:v>
                </c:pt>
                <c:pt idx="29">
                  <c:v>13.102929985198172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F7-49AE-9B41-6FDAB7D2AD9B}"/>
            </c:ext>
          </c:extLst>
        </c:ser>
        <c:ser>
          <c:idx val="7"/>
          <c:order val="7"/>
          <c:tx>
            <c:v>10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Spherical!$W$3:$W$33</c:f>
              <c:numCache>
                <c:formatCode>General</c:formatCode>
                <c:ptCount val="31"/>
                <c:pt idx="0">
                  <c:v>125.54503646448184</c:v>
                </c:pt>
                <c:pt idx="1">
                  <c:v>124.38992374821163</c:v>
                </c:pt>
                <c:pt idx="2">
                  <c:v>123.14131497395944</c:v>
                </c:pt>
                <c:pt idx="3">
                  <c:v>121.79117373181433</c:v>
                </c:pt>
                <c:pt idx="4">
                  <c:v>120.33074023272066</c:v>
                </c:pt>
                <c:pt idx="5">
                  <c:v>118.75044168226442</c:v>
                </c:pt>
                <c:pt idx="6">
                  <c:v>117.03983059060729</c:v>
                </c:pt>
                <c:pt idx="7">
                  <c:v>115.18750058150572</c:v>
                </c:pt>
                <c:pt idx="8">
                  <c:v>113.18097673881176</c:v>
                </c:pt>
                <c:pt idx="9">
                  <c:v>111.00662427829367</c:v>
                </c:pt>
                <c:pt idx="10">
                  <c:v>108.64953631439944</c:v>
                </c:pt>
                <c:pt idx="11">
                  <c:v>106.09647293175301</c:v>
                </c:pt>
                <c:pt idx="12">
                  <c:v>103.33418462830778</c:v>
                </c:pt>
                <c:pt idx="13">
                  <c:v>100.3455195276853</c:v>
                </c:pt>
                <c:pt idx="14">
                  <c:v>97.111928501793685</c:v>
                </c:pt>
                <c:pt idx="15">
                  <c:v>93.613341838823516</c:v>
                </c:pt>
                <c:pt idx="16">
                  <c:v>89.828044995900825</c:v>
                </c:pt>
                <c:pt idx="17">
                  <c:v>85.732541499886381</c:v>
                </c:pt>
                <c:pt idx="18">
                  <c:v>81.30140528702556</c:v>
                </c:pt>
                <c:pt idx="19">
                  <c:v>76.507121927894104</c:v>
                </c:pt>
                <c:pt idx="20">
                  <c:v>71.359660106622755</c:v>
                </c:pt>
                <c:pt idx="21">
                  <c:v>65.883232510164689</c:v>
                </c:pt>
                <c:pt idx="22">
                  <c:v>60.067049928705757</c:v>
                </c:pt>
                <c:pt idx="23">
                  <c:v>53.900286407516511</c:v>
                </c:pt>
                <c:pt idx="24">
                  <c:v>47.372080203919452</c:v>
                </c:pt>
                <c:pt idx="25">
                  <c:v>40.471534696508613</c:v>
                </c:pt>
                <c:pt idx="26">
                  <c:v>33.187719250194192</c:v>
                </c:pt>
                <c:pt idx="27">
                  <c:v>25.509670040293685</c:v>
                </c:pt>
                <c:pt idx="28">
                  <c:v>17.426390838581881</c:v>
                </c:pt>
                <c:pt idx="29">
                  <c:v>8.926853763939647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F7-49AE-9B41-6FDAB7D2AD9B}"/>
            </c:ext>
          </c:extLst>
        </c:ser>
        <c:ser>
          <c:idx val="8"/>
          <c:order val="8"/>
          <c:tx>
            <c:v>10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Spherical!$X$3:$X$33</c:f>
              <c:numCache>
                <c:formatCode>General</c:formatCode>
                <c:ptCount val="31"/>
                <c:pt idx="0">
                  <c:v>312.08355532191899</c:v>
                </c:pt>
                <c:pt idx="1">
                  <c:v>309.21214205506988</c:v>
                </c:pt>
                <c:pt idx="2">
                  <c:v>306.10831352908104</c:v>
                </c:pt>
                <c:pt idx="3">
                  <c:v>302.75209259911537</c:v>
                </c:pt>
                <c:pt idx="4">
                  <c:v>299.12170392311759</c:v>
                </c:pt>
                <c:pt idx="5">
                  <c:v>295.19335116632834</c:v>
                </c:pt>
                <c:pt idx="6">
                  <c:v>290.94106365029819</c:v>
                </c:pt>
                <c:pt idx="7">
                  <c:v>286.33648706846373</c:v>
                </c:pt>
                <c:pt idx="8">
                  <c:v>281.34861090624452</c:v>
                </c:pt>
                <c:pt idx="9">
                  <c:v>275.94354141476026</c:v>
                </c:pt>
                <c:pt idx="10">
                  <c:v>270.08422261814081</c:v>
                </c:pt>
                <c:pt idx="11">
                  <c:v>263.73774234415629</c:v>
                </c:pt>
                <c:pt idx="12">
                  <c:v>256.87116458974839</c:v>
                </c:pt>
                <c:pt idx="13">
                  <c:v>249.44185271462155</c:v>
                </c:pt>
                <c:pt idx="14">
                  <c:v>241.40369674895095</c:v>
                </c:pt>
                <c:pt idx="15">
                  <c:v>232.70680681104824</c:v>
                </c:pt>
                <c:pt idx="16">
                  <c:v>223.29720424964106</c:v>
                </c:pt>
                <c:pt idx="17">
                  <c:v>213.11648083863517</c:v>
                </c:pt>
                <c:pt idx="18">
                  <c:v>202.10143171866025</c:v>
                </c:pt>
                <c:pt idx="19">
                  <c:v>190.18366070935593</c:v>
                </c:pt>
                <c:pt idx="20">
                  <c:v>177.3879482598185</c:v>
                </c:pt>
                <c:pt idx="21">
                  <c:v>163.77448298156969</c:v>
                </c:pt>
                <c:pt idx="22">
                  <c:v>149.31644473856323</c:v>
                </c:pt>
                <c:pt idx="23">
                  <c:v>133.98692205315837</c:v>
                </c:pt>
                <c:pt idx="24">
                  <c:v>117.75891448497731</c:v>
                </c:pt>
                <c:pt idx="25">
                  <c:v>100.60533489107013</c:v>
                </c:pt>
                <c:pt idx="26">
                  <c:v>82.499011576268146</c:v>
                </c:pt>
                <c:pt idx="27">
                  <c:v>63.41269034173402</c:v>
                </c:pt>
                <c:pt idx="28">
                  <c:v>43.319036438948046</c:v>
                </c:pt>
                <c:pt idx="29">
                  <c:v>22.190636435693019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F7-49AE-9B41-6FDAB7D2AD9B}"/>
            </c:ext>
          </c:extLst>
        </c:ser>
        <c:ser>
          <c:idx val="9"/>
          <c:order val="9"/>
          <c:tx>
            <c:v>100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square"/>
            <c:size val="7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Spherical!$Y$3:$Y$33</c:f>
              <c:numCache>
                <c:formatCode>General</c:formatCode>
                <c:ptCount val="31"/>
                <c:pt idx="0">
                  <c:v>212.61841921129701</c:v>
                </c:pt>
                <c:pt idx="1">
                  <c:v>210.66216314048273</c:v>
                </c:pt>
                <c:pt idx="2">
                  <c:v>208.54756561220879</c:v>
                </c:pt>
                <c:pt idx="3">
                  <c:v>206.26101646059749</c:v>
                </c:pt>
                <c:pt idx="4">
                  <c:v>203.78768043167079</c:v>
                </c:pt>
                <c:pt idx="5">
                  <c:v>201.11134539571765</c:v>
                </c:pt>
                <c:pt idx="6">
                  <c:v>198.21431787128543</c:v>
                </c:pt>
                <c:pt idx="7">
                  <c:v>195.07728044245607</c:v>
                </c:pt>
                <c:pt idx="8">
                  <c:v>191.67910605374527</c:v>
                </c:pt>
                <c:pt idx="9">
                  <c:v>187.99670334008368</c:v>
                </c:pt>
                <c:pt idx="10">
                  <c:v>184.0048265527688</c:v>
                </c:pt>
                <c:pt idx="11">
                  <c:v>179.68105306198566</c:v>
                </c:pt>
                <c:pt idx="12">
                  <c:v>175.00294400228947</c:v>
                </c:pt>
                <c:pt idx="13">
                  <c:v>169.94145159174641</c:v>
                </c:pt>
                <c:pt idx="14">
                  <c:v>164.46516171472354</c:v>
                </c:pt>
                <c:pt idx="15">
                  <c:v>158.54008505137895</c:v>
                </c:pt>
                <c:pt idx="16">
                  <c:v>152.12944665696159</c:v>
                </c:pt>
                <c:pt idx="17">
                  <c:v>145.19345377568757</c:v>
                </c:pt>
                <c:pt idx="18">
                  <c:v>137.68904576864585</c:v>
                </c:pt>
                <c:pt idx="19">
                  <c:v>129.56962521825284</c:v>
                </c:pt>
                <c:pt idx="20">
                  <c:v>120.8520747183663</c:v>
                </c:pt>
                <c:pt idx="21">
                  <c:v>111.57739997793198</c:v>
                </c:pt>
                <c:pt idx="22">
                  <c:v>101.72732879121537</c:v>
                </c:pt>
                <c:pt idx="23">
                  <c:v>91.283526722655736</c:v>
                </c:pt>
                <c:pt idx="24">
                  <c:v>80.227598727550372</c:v>
                </c:pt>
                <c:pt idx="25">
                  <c:v>68.541090691875127</c:v>
                </c:pt>
                <c:pt idx="26">
                  <c:v>56.205490897291952</c:v>
                </c:pt>
                <c:pt idx="27">
                  <c:v>43.202231416799101</c:v>
                </c:pt>
                <c:pt idx="28">
                  <c:v>29.512689445956262</c:v>
                </c:pt>
                <c:pt idx="29">
                  <c:v>15.118188574155493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F7-49AE-9B41-6FDAB7D2AD9B}"/>
            </c:ext>
          </c:extLst>
        </c:ser>
        <c:ser>
          <c:idx val="10"/>
          <c:order val="10"/>
          <c:tx>
            <c:v>1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Spherical!$Z$3:$Z$33</c:f>
              <c:numCache>
                <c:formatCode>General</c:formatCode>
                <c:ptCount val="31"/>
                <c:pt idx="0">
                  <c:v>144.85413094348888</c:v>
                </c:pt>
                <c:pt idx="1">
                  <c:v>143.52135942683532</c:v>
                </c:pt>
                <c:pt idx="2">
                  <c:v>142.08071195899311</c:v>
                </c:pt>
                <c:pt idx="3">
                  <c:v>140.52291611305998</c:v>
                </c:pt>
                <c:pt idx="4">
                  <c:v>138.83786482573313</c:v>
                </c:pt>
                <c:pt idx="5">
                  <c:v>137.01451298639256</c:v>
                </c:pt>
                <c:pt idx="6">
                  <c:v>135.04080625897137</c:v>
                </c:pt>
                <c:pt idx="7">
                  <c:v>132.90358394222241</c:v>
                </c:pt>
                <c:pt idx="8">
                  <c:v>130.58845245127691</c:v>
                </c:pt>
                <c:pt idx="9">
                  <c:v>128.07967994299625</c:v>
                </c:pt>
                <c:pt idx="10">
                  <c:v>125.36006682102428</c:v>
                </c:pt>
                <c:pt idx="11">
                  <c:v>122.41433684275056</c:v>
                </c:pt>
                <c:pt idx="12">
                  <c:v>119.22720270444374</c:v>
                </c:pt>
                <c:pt idx="13">
                  <c:v>115.77887453454207</c:v>
                </c:pt>
                <c:pt idx="14">
                  <c:v>112.04795030947555</c:v>
                </c:pt>
                <c:pt idx="15">
                  <c:v>108.01127355293647</c:v>
                </c:pt>
                <c:pt idx="16">
                  <c:v>103.64378997902534</c:v>
                </c:pt>
                <c:pt idx="17">
                  <c:v>98.918389306900551</c:v>
                </c:pt>
                <c:pt idx="18">
                  <c:v>93.805734889951381</c:v>
                </c:pt>
                <c:pt idx="19">
                  <c:v>88.274080520801618</c:v>
                </c:pt>
                <c:pt idx="20">
                  <c:v>82.334928088471102</c:v>
                </c:pt>
                <c:pt idx="21">
                  <c:v>76.016214242828141</c:v>
                </c:pt>
                <c:pt idx="22">
                  <c:v>69.305490370568606</c:v>
                </c:pt>
                <c:pt idx="23">
                  <c:v>62.190265462026744</c:v>
                </c:pt>
                <c:pt idx="24">
                  <c:v>54.658007215325952</c:v>
                </c:pt>
                <c:pt idx="25">
                  <c:v>46.696143085438315</c:v>
                </c:pt>
                <c:pt idx="26">
                  <c:v>38.292061282274929</c:v>
                </c:pt>
                <c:pt idx="27">
                  <c:v>29.433111721524</c:v>
                </c:pt>
                <c:pt idx="28">
                  <c:v>20.106606931597057</c:v>
                </c:pt>
                <c:pt idx="29">
                  <c:v>10.29982291972906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F7-49AE-9B41-6FDAB7D2AD9B}"/>
            </c:ext>
          </c:extLst>
        </c:ser>
        <c:ser>
          <c:idx val="11"/>
          <c:order val="11"/>
          <c:tx>
            <c:v>10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Spherical!$AA$3:$AA$33</c:f>
              <c:numCache>
                <c:formatCode>General</c:formatCode>
                <c:ptCount val="31"/>
                <c:pt idx="0">
                  <c:v>98.687213126822869</c:v>
                </c:pt>
                <c:pt idx="1">
                  <c:v>97.779213431842393</c:v>
                </c:pt>
                <c:pt idx="2">
                  <c:v>96.797719270968045</c:v>
                </c:pt>
                <c:pt idx="3">
                  <c:v>95.736413461776749</c:v>
                </c:pt>
                <c:pt idx="4">
                  <c:v>94.588410195049562</c:v>
                </c:pt>
                <c:pt idx="5">
                  <c:v>93.3461845822751</c:v>
                </c:pt>
                <c:pt idx="6">
                  <c:v>92.00152416292643</c:v>
                </c:pt>
                <c:pt idx="7">
                  <c:v>90.545462724439105</c:v>
                </c:pt>
                <c:pt idx="8">
                  <c:v>88.968194106862086</c:v>
                </c:pt>
                <c:pt idx="9">
                  <c:v>87.259000412496576</c:v>
                </c:pt>
                <c:pt idx="10">
                  <c:v>85.40616378269236</c:v>
                </c:pt>
                <c:pt idx="11">
                  <c:v>83.399276714394787</c:v>
                </c:pt>
                <c:pt idx="12">
                  <c:v>81.227924168753106</c:v>
                </c:pt>
                <c:pt idx="13">
                  <c:v>78.878623566707631</c:v>
                </c:pt>
                <c:pt idx="14">
                  <c:v>76.336793991251426</c:v>
                </c:pt>
                <c:pt idx="15">
                  <c:v>73.586659239816015</c:v>
                </c:pt>
                <c:pt idx="16">
                  <c:v>70.611150157133281</c:v>
                </c:pt>
                <c:pt idx="17">
                  <c:v>67.391796865637986</c:v>
                </c:pt>
                <c:pt idx="18">
                  <c:v>63.908612694065461</c:v>
                </c:pt>
                <c:pt idx="19">
                  <c:v>60.139969369111384</c:v>
                </c:pt>
                <c:pt idx="20">
                  <c:v>56.093702976399747</c:v>
                </c:pt>
                <c:pt idx="21">
                  <c:v>51.788846387838625</c:v>
                </c:pt>
                <c:pt idx="22">
                  <c:v>47.216918527008069</c:v>
                </c:pt>
                <c:pt idx="23">
                  <c:v>42.369409433404876</c:v>
                </c:pt>
                <c:pt idx="24">
                  <c:v>37.237781014686021</c:v>
                </c:pt>
                <c:pt idx="25">
                  <c:v>31.813467761379069</c:v>
                </c:pt>
                <c:pt idx="26">
                  <c:v>26.087877426868012</c:v>
                </c:pt>
                <c:pt idx="27">
                  <c:v>20.05239167518674</c:v>
                </c:pt>
                <c:pt idx="28">
                  <c:v>13.698366698909556</c:v>
                </c:pt>
                <c:pt idx="29">
                  <c:v>7.017133809213786</c:v>
                </c:pt>
                <c:pt idx="30">
                  <c:v>0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F7-49AE-9B41-6FDAB7D2A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72352"/>
        <c:axId val="169191296"/>
      </c:scatterChart>
      <c:valAx>
        <c:axId val="16917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to Fall from Altitude (secs)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191296"/>
        <c:crosses val="autoZero"/>
        <c:crossBetween val="midCat"/>
      </c:valAx>
      <c:valAx>
        <c:axId val="169191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(meters)</a:t>
                </a: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9172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Terminal Velocity </a:t>
            </a:r>
            <a:r>
              <a:rPr lang="en-US" baseline="0"/>
              <a:t>Spherical Meteorites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 gm Carbonaceous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Spherical!$D$3:$D$33</c:f>
              <c:numCache>
                <c:formatCode>General</c:formatCode>
                <c:ptCount val="31"/>
                <c:pt idx="0">
                  <c:v>245.97133221818797</c:v>
                </c:pt>
                <c:pt idx="1">
                  <c:v>227.59139781657552</c:v>
                </c:pt>
                <c:pt idx="2">
                  <c:v>210.51086663564556</c:v>
                </c:pt>
                <c:pt idx="3">
                  <c:v>194.64550837123178</c:v>
                </c:pt>
                <c:pt idx="4">
                  <c:v>179.91336867059778</c:v>
                </c:pt>
                <c:pt idx="5">
                  <c:v>166.23535826259433</c:v>
                </c:pt>
                <c:pt idx="6">
                  <c:v>153.54412526973778</c:v>
                </c:pt>
                <c:pt idx="7">
                  <c:v>141.76952225903622</c:v>
                </c:pt>
                <c:pt idx="8">
                  <c:v>130.85037877357263</c:v>
                </c:pt>
                <c:pt idx="9">
                  <c:v>120.72720183838271</c:v>
                </c:pt>
                <c:pt idx="10">
                  <c:v>111.34658573085458</c:v>
                </c:pt>
                <c:pt idx="11">
                  <c:v>102.91301124310426</c:v>
                </c:pt>
                <c:pt idx="12">
                  <c:v>95.117849884798858</c:v>
                </c:pt>
                <c:pt idx="13">
                  <c:v>87.913139870747983</c:v>
                </c:pt>
                <c:pt idx="14">
                  <c:v>81.254304940539726</c:v>
                </c:pt>
                <c:pt idx="15">
                  <c:v>75.099784327723938</c:v>
                </c:pt>
                <c:pt idx="16">
                  <c:v>69.411558933914193</c:v>
                </c:pt>
                <c:pt idx="17">
                  <c:v>64.154028776394952</c:v>
                </c:pt>
                <c:pt idx="18">
                  <c:v>59.294744887376069</c:v>
                </c:pt>
                <c:pt idx="19">
                  <c:v>54.803294472962172</c:v>
                </c:pt>
                <c:pt idx="20">
                  <c:v>51.466232219649477</c:v>
                </c:pt>
                <c:pt idx="21">
                  <c:v>48.419746692695711</c:v>
                </c:pt>
                <c:pt idx="22">
                  <c:v>45.63134674419242</c:v>
                </c:pt>
                <c:pt idx="23">
                  <c:v>43.072935418601411</c:v>
                </c:pt>
                <c:pt idx="24">
                  <c:v>40.720118041227522</c:v>
                </c:pt>
                <c:pt idx="25">
                  <c:v>38.551633855390648</c:v>
                </c:pt>
                <c:pt idx="26">
                  <c:v>36.548886668036957</c:v>
                </c:pt>
                <c:pt idx="27">
                  <c:v>34.695555306812416</c:v>
                </c:pt>
                <c:pt idx="28">
                  <c:v>32.977268774156158</c:v>
                </c:pt>
                <c:pt idx="29">
                  <c:v>31.381334125145909</c:v>
                </c:pt>
                <c:pt idx="30">
                  <c:v>29.896507528819075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3D-4C5F-ADC8-70B4283D4237}"/>
            </c:ext>
          </c:extLst>
        </c:ser>
        <c:ser>
          <c:idx val="1"/>
          <c:order val="1"/>
          <c:tx>
            <c:v>100 gm Carbonaceous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Spherical!$E$3:$E$33</c:f>
              <c:numCache>
                <c:formatCode>General</c:formatCode>
                <c:ptCount val="31"/>
                <c:pt idx="0">
                  <c:v>361.03931235437534</c:v>
                </c:pt>
                <c:pt idx="1">
                  <c:v>334.06105103573373</c:v>
                </c:pt>
                <c:pt idx="2">
                  <c:v>308.99006745159704</c:v>
                </c:pt>
                <c:pt idx="3">
                  <c:v>285.70272747427509</c:v>
                </c:pt>
                <c:pt idx="4">
                  <c:v>264.07873764155994</c:v>
                </c:pt>
                <c:pt idx="5">
                  <c:v>244.00200988817664</c:v>
                </c:pt>
                <c:pt idx="6">
                  <c:v>225.37368441890769</c:v>
                </c:pt>
                <c:pt idx="7">
                  <c:v>208.09079809271367</c:v>
                </c:pt>
                <c:pt idx="8">
                  <c:v>192.06356426859637</c:v>
                </c:pt>
                <c:pt idx="9">
                  <c:v>177.2046585312375</c:v>
                </c:pt>
                <c:pt idx="10">
                  <c:v>163.43569139844126</c:v>
                </c:pt>
                <c:pt idx="11">
                  <c:v>151.05680193076196</c:v>
                </c:pt>
                <c:pt idx="12">
                  <c:v>139.61498197916887</c:v>
                </c:pt>
                <c:pt idx="13">
                  <c:v>129.03983273015706</c:v>
                </c:pt>
                <c:pt idx="14">
                  <c:v>119.26592467915245</c:v>
                </c:pt>
                <c:pt idx="15">
                  <c:v>110.23225449538158</c:v>
                </c:pt>
                <c:pt idx="16">
                  <c:v>101.88301734576096</c:v>
                </c:pt>
                <c:pt idx="17">
                  <c:v>94.165959200670429</c:v>
                </c:pt>
                <c:pt idx="18">
                  <c:v>87.033451123388303</c:v>
                </c:pt>
                <c:pt idx="19">
                  <c:v>80.440852894683573</c:v>
                </c:pt>
                <c:pt idx="20">
                  <c:v>75.542677768522793</c:v>
                </c:pt>
                <c:pt idx="21">
                  <c:v>71.071014222084457</c:v>
                </c:pt>
                <c:pt idx="22">
                  <c:v>66.978171406224959</c:v>
                </c:pt>
                <c:pt idx="23">
                  <c:v>63.222908313647672</c:v>
                </c:pt>
                <c:pt idx="24">
                  <c:v>59.769418183875231</c:v>
                </c:pt>
                <c:pt idx="25">
                  <c:v>56.586494254303609</c:v>
                </c:pt>
                <c:pt idx="26">
                  <c:v>53.646840836886497</c:v>
                </c:pt>
                <c:pt idx="27">
                  <c:v>50.926501542924541</c:v>
                </c:pt>
                <c:pt idx="28">
                  <c:v>48.404382470821837</c:v>
                </c:pt>
                <c:pt idx="29">
                  <c:v>46.061852782321111</c:v>
                </c:pt>
                <c:pt idx="30">
                  <c:v>43.88240866389922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3D-4C5F-ADC8-70B4283D4237}"/>
            </c:ext>
          </c:extLst>
        </c:ser>
        <c:ser>
          <c:idx val="2"/>
          <c:order val="2"/>
          <c:tx>
            <c:v>1 kg Carbonaceousg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Spherical!$F$3:$F$33</c:f>
              <c:numCache>
                <c:formatCode>General</c:formatCode>
                <c:ptCount val="31"/>
                <c:pt idx="0">
                  <c:v>529.93730566005274</c:v>
                </c:pt>
                <c:pt idx="1">
                  <c:v>490.33832952262628</c:v>
                </c:pt>
                <c:pt idx="2">
                  <c:v>453.53887573410373</c:v>
                </c:pt>
                <c:pt idx="3">
                  <c:v>419.3574728195685</c:v>
                </c:pt>
                <c:pt idx="4">
                  <c:v>387.61755276808782</c:v>
                </c:pt>
                <c:pt idx="5">
                  <c:v>358.14872029464425</c:v>
                </c:pt>
                <c:pt idx="6">
                  <c:v>330.80586795048373</c:v>
                </c:pt>
                <c:pt idx="7">
                  <c:v>305.43786535263246</c:v>
                </c:pt>
                <c:pt idx="8">
                  <c:v>281.91292272367099</c:v>
                </c:pt>
                <c:pt idx="9">
                  <c:v>260.10286436696856</c:v>
                </c:pt>
                <c:pt idx="10">
                  <c:v>239.8926293748471</c:v>
                </c:pt>
                <c:pt idx="11">
                  <c:v>221.72276502188538</c:v>
                </c:pt>
                <c:pt idx="12">
                  <c:v>204.92834117520152</c:v>
                </c:pt>
                <c:pt idx="13">
                  <c:v>189.40602571479113</c:v>
                </c:pt>
                <c:pt idx="14">
                  <c:v>175.0597805246426</c:v>
                </c:pt>
                <c:pt idx="15">
                  <c:v>161.80006427327169</c:v>
                </c:pt>
                <c:pt idx="16">
                  <c:v>149.54496603886153</c:v>
                </c:pt>
                <c:pt idx="17">
                  <c:v>138.21778680632087</c:v>
                </c:pt>
                <c:pt idx="18">
                  <c:v>127.74861632063303</c:v>
                </c:pt>
                <c:pt idx="19">
                  <c:v>118.07193119779568</c:v>
                </c:pt>
                <c:pt idx="20">
                  <c:v>110.88233815297811</c:v>
                </c:pt>
                <c:pt idx="21">
                  <c:v>104.31878329751173</c:v>
                </c:pt>
                <c:pt idx="22">
                  <c:v>98.31126550067475</c:v>
                </c:pt>
                <c:pt idx="23">
                  <c:v>92.799250777547542</c:v>
                </c:pt>
                <c:pt idx="24">
                  <c:v>87.730181587932961</c:v>
                </c:pt>
                <c:pt idx="25">
                  <c:v>83.058252316966275</c:v>
                </c:pt>
                <c:pt idx="26">
                  <c:v>78.743398066215562</c:v>
                </c:pt>
                <c:pt idx="27">
                  <c:v>74.75045539600471</c:v>
                </c:pt>
                <c:pt idx="28">
                  <c:v>71.048462455379891</c:v>
                </c:pt>
                <c:pt idx="29">
                  <c:v>67.610072703700226</c:v>
                </c:pt>
                <c:pt idx="30">
                  <c:v>64.411061669634506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3D-4C5F-ADC8-70B4283D4237}"/>
            </c:ext>
          </c:extLst>
        </c:ser>
        <c:ser>
          <c:idx val="3"/>
          <c:order val="3"/>
          <c:tx>
            <c:v>10 kg Carbonaceous</c:v>
          </c:tx>
          <c:spPr>
            <a:ln>
              <a:solidFill>
                <a:srgbClr val="00B0F0"/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Spherical!$G$3:$G$33</c:f>
              <c:numCache>
                <c:formatCode>General</c:formatCode>
                <c:ptCount val="31"/>
                <c:pt idx="0">
                  <c:v>777.84755931117559</c:v>
                </c:pt>
                <c:pt idx="1">
                  <c:v>719.72376502318173</c:v>
                </c:pt>
                <c:pt idx="2">
                  <c:v>665.70913912751246</c:v>
                </c:pt>
                <c:pt idx="3">
                  <c:v>615.5373158817664</c:v>
                </c:pt>
                <c:pt idx="4">
                  <c:v>568.94912689962723</c:v>
                </c:pt>
                <c:pt idx="5">
                  <c:v>525.69446418689824</c:v>
                </c:pt>
                <c:pt idx="6">
                  <c:v>485.56033750181706</c:v>
                </c:pt>
                <c:pt idx="7">
                  <c:v>448.32491607633204</c:v>
                </c:pt>
                <c:pt idx="8">
                  <c:v>413.79475748694682</c:v>
                </c:pt>
                <c:pt idx="9">
                  <c:v>381.78172409601575</c:v>
                </c:pt>
                <c:pt idx="10">
                  <c:v>352.11692829126173</c:v>
                </c:pt>
                <c:pt idx="11">
                  <c:v>325.44701000279008</c:v>
                </c:pt>
                <c:pt idx="12">
                  <c:v>300.79597777755464</c:v>
                </c:pt>
                <c:pt idx="13">
                  <c:v>278.01215964136998</c:v>
                </c:pt>
                <c:pt idx="14">
                  <c:v>256.95458983594244</c:v>
                </c:pt>
                <c:pt idx="15">
                  <c:v>237.49183865174123</c:v>
                </c:pt>
                <c:pt idx="16">
                  <c:v>219.50367637491965</c:v>
                </c:pt>
                <c:pt idx="17">
                  <c:v>202.87752338322215</c:v>
                </c:pt>
                <c:pt idx="18">
                  <c:v>187.51076466793978</c:v>
                </c:pt>
                <c:pt idx="19">
                  <c:v>173.30722431584715</c:v>
                </c:pt>
                <c:pt idx="20">
                  <c:v>162.75426391350967</c:v>
                </c:pt>
                <c:pt idx="21">
                  <c:v>153.12020895983821</c:v>
                </c:pt>
                <c:pt idx="22">
                  <c:v>144.30231105780655</c:v>
                </c:pt>
                <c:pt idx="23">
                  <c:v>136.21171778671845</c:v>
                </c:pt>
                <c:pt idx="24">
                  <c:v>128.77128463546089</c:v>
                </c:pt>
                <c:pt idx="25">
                  <c:v>121.91377764004459</c:v>
                </c:pt>
                <c:pt idx="26">
                  <c:v>115.58038912052996</c:v>
                </c:pt>
                <c:pt idx="27">
                  <c:v>109.71950580976839</c:v>
                </c:pt>
                <c:pt idx="28">
                  <c:v>104.28568157679501</c:v>
                </c:pt>
                <c:pt idx="29">
                  <c:v>99.238776881203961</c:v>
                </c:pt>
                <c:pt idx="30">
                  <c:v>94.543234788808263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3D-4C5F-ADC8-70B4283D4237}"/>
            </c:ext>
          </c:extLst>
        </c:ser>
        <c:ser>
          <c:idx val="4"/>
          <c:order val="4"/>
          <c:tx>
            <c:v>10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Spherical!$H$3:$H$33</c:f>
              <c:numCache>
                <c:formatCode>General</c:formatCode>
                <c:ptCount val="31"/>
                <c:pt idx="0">
                  <c:v>284.38233026683758</c:v>
                </c:pt>
                <c:pt idx="1">
                  <c:v>263.13217673006022</c:v>
                </c:pt>
                <c:pt idx="2">
                  <c:v>243.38434182741594</c:v>
                </c:pt>
                <c:pt idx="3">
                  <c:v>225.04144181112457</c:v>
                </c:pt>
                <c:pt idx="4">
                  <c:v>208.00872429847328</c:v>
                </c:pt>
                <c:pt idx="5">
                  <c:v>192.19474940081466</c:v>
                </c:pt>
                <c:pt idx="6">
                  <c:v>177.52164754003996</c:v>
                </c:pt>
                <c:pt idx="7">
                  <c:v>163.9083170272794</c:v>
                </c:pt>
                <c:pt idx="8">
                  <c:v>151.2840349985118</c:v>
                </c:pt>
                <c:pt idx="9">
                  <c:v>139.58001802803358</c:v>
                </c:pt>
                <c:pt idx="10">
                  <c:v>128.73452053066211</c:v>
                </c:pt>
                <c:pt idx="11">
                  <c:v>118.98395511445365</c:v>
                </c:pt>
                <c:pt idx="12">
                  <c:v>109.97149771996961</c:v>
                </c:pt>
                <c:pt idx="13">
                  <c:v>101.64169682725766</c:v>
                </c:pt>
                <c:pt idx="14">
                  <c:v>93.943015126273593</c:v>
                </c:pt>
                <c:pt idx="15">
                  <c:v>86.827401701879481</c:v>
                </c:pt>
                <c:pt idx="16">
                  <c:v>80.250900375539146</c:v>
                </c:pt>
                <c:pt idx="17">
                  <c:v>74.172351854619507</c:v>
                </c:pt>
                <c:pt idx="18">
                  <c:v>68.554239925374517</c:v>
                </c:pt>
                <c:pt idx="19">
                  <c:v>63.361402517818561</c:v>
                </c:pt>
                <c:pt idx="20">
                  <c:v>59.503223065423029</c:v>
                </c:pt>
                <c:pt idx="21">
                  <c:v>55.980996936604093</c:v>
                </c:pt>
                <c:pt idx="22">
                  <c:v>52.757159150630343</c:v>
                </c:pt>
                <c:pt idx="23">
                  <c:v>49.799225118272233</c:v>
                </c:pt>
                <c:pt idx="24">
                  <c:v>47.07899068104777</c:v>
                </c:pt>
                <c:pt idx="25">
                  <c:v>44.571874992590004</c:v>
                </c:pt>
                <c:pt idx="26">
                  <c:v>42.256377869657875</c:v>
                </c:pt>
                <c:pt idx="27">
                  <c:v>40.113629418004479</c:v>
                </c:pt>
                <c:pt idx="28">
                  <c:v>38.127014458382043</c:v>
                </c:pt>
                <c:pt idx="29">
                  <c:v>36.281857909664687</c:v>
                </c:pt>
                <c:pt idx="30">
                  <c:v>34.565160098998525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3D-4C5F-ADC8-70B4283D4237}"/>
            </c:ext>
          </c:extLst>
        </c:ser>
        <c:ser>
          <c:idx val="5"/>
          <c:order val="5"/>
          <c:tx>
            <c:v>100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Spherical!$I$3:$I$33</c:f>
              <c:numCache>
                <c:formatCode>General</c:formatCode>
                <c:ptCount val="31"/>
                <c:pt idx="0">
                  <c:v>417.41937989016543</c:v>
                </c:pt>
                <c:pt idx="1">
                  <c:v>386.22818069164487</c:v>
                </c:pt>
                <c:pt idx="2">
                  <c:v>357.24210060888947</c:v>
                </c:pt>
                <c:pt idx="3">
                  <c:v>330.31819875112166</c:v>
                </c:pt>
                <c:pt idx="4">
                  <c:v>305.31739657292684</c:v>
                </c:pt>
                <c:pt idx="5">
                  <c:v>282.10547764257177</c:v>
                </c:pt>
                <c:pt idx="6">
                  <c:v>260.56814417307373</c:v>
                </c:pt>
                <c:pt idx="7">
                  <c:v>240.58635425122978</c:v>
                </c:pt>
                <c:pt idx="8">
                  <c:v>222.05630011227461</c:v>
                </c:pt>
                <c:pt idx="9">
                  <c:v>204.87702071943431</c:v>
                </c:pt>
                <c:pt idx="10">
                  <c:v>188.9578852523843</c:v>
                </c:pt>
                <c:pt idx="11">
                  <c:v>174.64590262746788</c:v>
                </c:pt>
                <c:pt idx="12">
                  <c:v>161.41732273165582</c:v>
                </c:pt>
                <c:pt idx="13">
                  <c:v>149.19075323986689</c:v>
                </c:pt>
                <c:pt idx="14">
                  <c:v>137.89054714555289</c:v>
                </c:pt>
                <c:pt idx="15">
                  <c:v>127.44617480933294</c:v>
                </c:pt>
                <c:pt idx="16">
                  <c:v>117.79311688934177</c:v>
                </c:pt>
                <c:pt idx="17">
                  <c:v>108.87095934230366</c:v>
                </c:pt>
                <c:pt idx="18">
                  <c:v>100.6246354745072</c:v>
                </c:pt>
                <c:pt idx="19">
                  <c:v>93.002534029250072</c:v>
                </c:pt>
                <c:pt idx="20">
                  <c:v>87.339457589118226</c:v>
                </c:pt>
                <c:pt idx="21">
                  <c:v>82.169496976076616</c:v>
                </c:pt>
                <c:pt idx="22">
                  <c:v>77.437513915719194</c:v>
                </c:pt>
                <c:pt idx="23">
                  <c:v>73.095827185800303</c:v>
                </c:pt>
                <c:pt idx="24">
                  <c:v>69.103038425413246</c:v>
                </c:pt>
                <c:pt idx="25">
                  <c:v>65.423067609339725</c:v>
                </c:pt>
                <c:pt idx="26">
                  <c:v>62.024356542147579</c:v>
                </c:pt>
                <c:pt idx="27">
                  <c:v>58.879207794296299</c:v>
                </c:pt>
                <c:pt idx="28">
                  <c:v>55.963233430670996</c:v>
                </c:pt>
                <c:pt idx="29">
                  <c:v>53.254893212615997</c:v>
                </c:pt>
                <c:pt idx="30">
                  <c:v>50.735106083385084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3D-4C5F-ADC8-70B4283D4237}"/>
            </c:ext>
          </c:extLst>
        </c:ser>
        <c:ser>
          <c:idx val="6"/>
          <c:order val="6"/>
          <c:tx>
            <c:v>1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Spherical!$J$3:$J$33</c:f>
              <c:numCache>
                <c:formatCode>General</c:formatCode>
                <c:ptCount val="31"/>
                <c:pt idx="0">
                  <c:v>612.69256266520097</c:v>
                </c:pt>
                <c:pt idx="1">
                  <c:v>566.90979193095552</c:v>
                </c:pt>
                <c:pt idx="2">
                  <c:v>524.36371826232255</c:v>
                </c:pt>
                <c:pt idx="3">
                  <c:v>484.8445315141588</c:v>
                </c:pt>
                <c:pt idx="4">
                  <c:v>448.14809073252945</c:v>
                </c:pt>
                <c:pt idx="5">
                  <c:v>414.07739162517532</c:v>
                </c:pt>
                <c:pt idx="6">
                  <c:v>382.46466669641444</c:v>
                </c:pt>
                <c:pt idx="7">
                  <c:v>353.13518497212641</c:v>
                </c:pt>
                <c:pt idx="8">
                  <c:v>325.93657632173574</c:v>
                </c:pt>
                <c:pt idx="9">
                  <c:v>300.72064907199854</c:v>
                </c:pt>
                <c:pt idx="10">
                  <c:v>277.35437435018815</c:v>
                </c:pt>
                <c:pt idx="11">
                  <c:v>256.34709549891107</c:v>
                </c:pt>
                <c:pt idx="12">
                  <c:v>236.93004658537208</c:v>
                </c:pt>
                <c:pt idx="13">
                  <c:v>218.98375909747571</c:v>
                </c:pt>
                <c:pt idx="14">
                  <c:v>202.39719756218727</c:v>
                </c:pt>
                <c:pt idx="15">
                  <c:v>187.06683783190371</c:v>
                </c:pt>
                <c:pt idx="16">
                  <c:v>172.89797773702446</c:v>
                </c:pt>
                <c:pt idx="17">
                  <c:v>159.80194090846169</c:v>
                </c:pt>
                <c:pt idx="18">
                  <c:v>147.69789987314402</c:v>
                </c:pt>
                <c:pt idx="19">
                  <c:v>136.5100990848396</c:v>
                </c:pt>
                <c:pt idx="20">
                  <c:v>128.19777583433245</c:v>
                </c:pt>
                <c:pt idx="21">
                  <c:v>120.60925318903482</c:v>
                </c:pt>
                <c:pt idx="22">
                  <c:v>113.66359860897774</c:v>
                </c:pt>
                <c:pt idx="23">
                  <c:v>107.29082509390172</c:v>
                </c:pt>
                <c:pt idx="24">
                  <c:v>101.43016769360072</c:v>
                </c:pt>
                <c:pt idx="25">
                  <c:v>96.028667767012465</c:v>
                </c:pt>
                <c:pt idx="26">
                  <c:v>91.040003862465298</c:v>
                </c:pt>
                <c:pt idx="27">
                  <c:v>86.423521401130373</c:v>
                </c:pt>
                <c:pt idx="28">
                  <c:v>82.143423514957192</c:v>
                </c:pt>
                <c:pt idx="29">
                  <c:v>78.168093214754123</c:v>
                </c:pt>
                <c:pt idx="30">
                  <c:v>74.469523124439903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3D-4C5F-ADC8-70B4283D4237}"/>
            </c:ext>
          </c:extLst>
        </c:ser>
        <c:ser>
          <c:idx val="7"/>
          <c:order val="7"/>
          <c:tx>
            <c:v>10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Spherical!$K$3:$K$33</c:f>
              <c:numCache>
                <c:formatCode>General</c:formatCode>
                <c:ptCount val="31"/>
                <c:pt idx="0">
                  <c:v>899.31659724095061</c:v>
                </c:pt>
                <c:pt idx="1">
                  <c:v>832.11616410711019</c:v>
                </c:pt>
                <c:pt idx="2">
                  <c:v>769.66658901973301</c:v>
                </c:pt>
                <c:pt idx="3">
                  <c:v>711.6599104377558</c:v>
                </c:pt>
                <c:pt idx="4">
                  <c:v>657.79648811868594</c:v>
                </c:pt>
                <c:pt idx="5">
                  <c:v>607.78715708721222</c:v>
                </c:pt>
                <c:pt idx="6">
                  <c:v>561.3856664460036</c:v>
                </c:pt>
                <c:pt idx="7">
                  <c:v>518.33554423072792</c:v>
                </c:pt>
                <c:pt idx="8">
                  <c:v>478.41313995874464</c:v>
                </c:pt>
                <c:pt idx="9">
                  <c:v>441.40093633109814</c:v>
                </c:pt>
                <c:pt idx="10">
                  <c:v>407.10367216714832</c:v>
                </c:pt>
                <c:pt idx="11">
                  <c:v>376.26896699031113</c:v>
                </c:pt>
                <c:pt idx="12">
                  <c:v>347.76841806667926</c:v>
                </c:pt>
                <c:pt idx="13">
                  <c:v>321.42666825578431</c:v>
                </c:pt>
                <c:pt idx="14">
                  <c:v>297.08073852072039</c:v>
                </c:pt>
                <c:pt idx="15">
                  <c:v>274.57867502717022</c:v>
                </c:pt>
                <c:pt idx="16">
                  <c:v>253.78147293305443</c:v>
                </c:pt>
                <c:pt idx="17">
                  <c:v>234.55897212975853</c:v>
                </c:pt>
                <c:pt idx="18">
                  <c:v>216.79253320091698</c:v>
                </c:pt>
                <c:pt idx="19">
                  <c:v>200.37096135780411</c:v>
                </c:pt>
                <c:pt idx="20">
                  <c:v>188.17004573334302</c:v>
                </c:pt>
                <c:pt idx="21">
                  <c:v>177.03153226131948</c:v>
                </c:pt>
                <c:pt idx="22">
                  <c:v>166.83662730706891</c:v>
                </c:pt>
                <c:pt idx="23">
                  <c:v>157.4826032144064</c:v>
                </c:pt>
                <c:pt idx="24">
                  <c:v>148.88026854935555</c:v>
                </c:pt>
                <c:pt idx="25">
                  <c:v>140.95189006072846</c:v>
                </c:pt>
                <c:pt idx="26">
                  <c:v>133.62947663383713</c:v>
                </c:pt>
                <c:pt idx="27">
                  <c:v>126.85335504964404</c:v>
                </c:pt>
                <c:pt idx="28">
                  <c:v>120.57098228816044</c:v>
                </c:pt>
                <c:pt idx="29">
                  <c:v>114.73595059961514</c:v>
                </c:pt>
                <c:pt idx="30">
                  <c:v>109.30715046238204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3D-4C5F-ADC8-70B4283D4237}"/>
            </c:ext>
          </c:extLst>
        </c:ser>
        <c:ser>
          <c:idx val="8"/>
          <c:order val="8"/>
          <c:tx>
            <c:v>10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Spherical!$L$3:$L$33</c:f>
              <c:numCache>
                <c:formatCode>General</c:formatCode>
                <c:ptCount val="31"/>
                <c:pt idx="0">
                  <c:v>361.7772646728082</c:v>
                </c:pt>
                <c:pt idx="1">
                  <c:v>334.74386068740944</c:v>
                </c:pt>
                <c:pt idx="2">
                  <c:v>309.62163284862174</c:v>
                </c:pt>
                <c:pt idx="3">
                  <c:v>286.28669432471958</c:v>
                </c:pt>
                <c:pt idx="4">
                  <c:v>264.61850577766836</c:v>
                </c:pt>
                <c:pt idx="5">
                  <c:v>244.50074186205799</c:v>
                </c:pt>
                <c:pt idx="6">
                  <c:v>225.83434071654497</c:v>
                </c:pt>
                <c:pt idx="7">
                  <c:v>208.51612874686228</c:v>
                </c:pt>
                <c:pt idx="8">
                  <c:v>192.45613579111071</c:v>
                </c:pt>
                <c:pt idx="9">
                  <c:v>177.56685894577814</c:v>
                </c:pt>
                <c:pt idx="10">
                  <c:v>163.76974850318052</c:v>
                </c:pt>
                <c:pt idx="11">
                  <c:v>151.36555699810609</c:v>
                </c:pt>
                <c:pt idx="12">
                  <c:v>139.90035034796958</c:v>
                </c:pt>
                <c:pt idx="13">
                  <c:v>129.30358584643804</c:v>
                </c:pt>
                <c:pt idx="14">
                  <c:v>119.50970025321132</c:v>
                </c:pt>
                <c:pt idx="15">
                  <c:v>110.4575655487416</c:v>
                </c:pt>
                <c:pt idx="16">
                  <c:v>102.09126283672688</c:v>
                </c:pt>
                <c:pt idx="17">
                  <c:v>94.358431282052464</c:v>
                </c:pt>
                <c:pt idx="18">
                  <c:v>87.211344596037833</c:v>
                </c:pt>
                <c:pt idx="19">
                  <c:v>80.605271316332022</c:v>
                </c:pt>
                <c:pt idx="20">
                  <c:v>75.69708448350454</c:v>
                </c:pt>
                <c:pt idx="21">
                  <c:v>71.21628100584978</c:v>
                </c:pt>
                <c:pt idx="22">
                  <c:v>67.115072555718342</c:v>
                </c:pt>
                <c:pt idx="23">
                  <c:v>63.352133830569578</c:v>
                </c:pt>
                <c:pt idx="24">
                  <c:v>59.891584882101377</c:v>
                </c:pt>
                <c:pt idx="25">
                  <c:v>56.702155162127298</c:v>
                </c:pt>
                <c:pt idx="26">
                  <c:v>53.75649319112464</c:v>
                </c:pt>
                <c:pt idx="27">
                  <c:v>51.030593614334165</c:v>
                </c:pt>
                <c:pt idx="28">
                  <c:v>48.503319414928335</c:v>
                </c:pt>
                <c:pt idx="29">
                  <c:v>46.156001673837558</c:v>
                </c:pt>
                <c:pt idx="30">
                  <c:v>43.972102844294056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3D-4C5F-ADC8-70B4283D4237}"/>
            </c:ext>
          </c:extLst>
        </c:ser>
        <c:ser>
          <c:idx val="9"/>
          <c:order val="9"/>
          <c:tx>
            <c:v>100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square"/>
            <c:size val="7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Spherical!$M$3:$M$33</c:f>
              <c:numCache>
                <c:formatCode>General</c:formatCode>
                <c:ptCount val="31"/>
                <c:pt idx="0">
                  <c:v>531.0204798462255</c:v>
                </c:pt>
                <c:pt idx="1">
                  <c:v>491.34056472169095</c:v>
                </c:pt>
                <c:pt idx="2">
                  <c:v>454.46589407641329</c:v>
                </c:pt>
                <c:pt idx="3">
                  <c:v>420.21462551383115</c:v>
                </c:pt>
                <c:pt idx="4">
                  <c:v>388.40983012388352</c:v>
                </c:pt>
                <c:pt idx="5">
                  <c:v>358.88076433927097</c:v>
                </c:pt>
                <c:pt idx="6">
                  <c:v>331.48202411645156</c:v>
                </c:pt>
                <c:pt idx="7">
                  <c:v>306.06217016698707</c:v>
                </c:pt>
                <c:pt idx="8">
                  <c:v>282.48914333954644</c:v>
                </c:pt>
                <c:pt idx="9">
                  <c:v>260.63450595064791</c:v>
                </c:pt>
                <c:pt idx="10">
                  <c:v>240.38296191195408</c:v>
                </c:pt>
                <c:pt idx="11">
                  <c:v>222.17595896198628</c:v>
                </c:pt>
                <c:pt idx="12">
                  <c:v>205.34720787283794</c:v>
                </c:pt>
                <c:pt idx="13">
                  <c:v>189.79316531709617</c:v>
                </c:pt>
                <c:pt idx="14">
                  <c:v>175.4175968800418</c:v>
                </c:pt>
                <c:pt idx="15">
                  <c:v>162.13077821069419</c:v>
                </c:pt>
                <c:pt idx="16">
                  <c:v>149.85063096404286</c:v>
                </c:pt>
                <c:pt idx="17">
                  <c:v>138.5002993547667</c:v>
                </c:pt>
                <c:pt idx="18">
                  <c:v>128.00973023361837</c:v>
                </c:pt>
                <c:pt idx="19">
                  <c:v>118.31326628898297</c:v>
                </c:pt>
                <c:pt idx="20">
                  <c:v>111.1089779556623</c:v>
                </c:pt>
                <c:pt idx="21">
                  <c:v>104.53200741288151</c:v>
                </c:pt>
                <c:pt idx="22">
                  <c:v>98.512210449941293</c:v>
                </c:pt>
                <c:pt idx="23">
                  <c:v>92.988929352474841</c:v>
                </c:pt>
                <c:pt idx="24">
                  <c:v>87.909499154424992</c:v>
                </c:pt>
                <c:pt idx="25">
                  <c:v>83.228020615777226</c:v>
                </c:pt>
                <c:pt idx="26">
                  <c:v>78.90434694678288</c:v>
                </c:pt>
                <c:pt idx="27">
                  <c:v>74.903242834867427</c:v>
                </c:pt>
                <c:pt idx="28">
                  <c:v>71.193683144085853</c:v>
                </c:pt>
                <c:pt idx="29">
                  <c:v>67.748265438379846</c:v>
                </c:pt>
                <c:pt idx="30">
                  <c:v>64.542715732406393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83D-4C5F-ADC8-70B4283D4237}"/>
            </c:ext>
          </c:extLst>
        </c:ser>
        <c:ser>
          <c:idx val="10"/>
          <c:order val="10"/>
          <c:tx>
            <c:v>1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Spherical!$N$3:$N$33</c:f>
              <c:numCache>
                <c:formatCode>General</c:formatCode>
                <c:ptCount val="31"/>
                <c:pt idx="0">
                  <c:v>779.4374537911915</c:v>
                </c:pt>
                <c:pt idx="1">
                  <c:v>721.19485640535424</c:v>
                </c:pt>
                <c:pt idx="2">
                  <c:v>667.0698264150476</c:v>
                </c:pt>
                <c:pt idx="3">
                  <c:v>616.79545363517252</c:v>
                </c:pt>
                <c:pt idx="4">
                  <c:v>570.11203994787104</c:v>
                </c:pt>
                <c:pt idx="5">
                  <c:v>526.76896614654413</c:v>
                </c:pt>
                <c:pt idx="6">
                  <c:v>486.55280664447588</c:v>
                </c:pt>
                <c:pt idx="7">
                  <c:v>449.24127725891969</c:v>
                </c:pt>
                <c:pt idx="8">
                  <c:v>414.64054017651466</c:v>
                </c:pt>
                <c:pt idx="9">
                  <c:v>382.56207321255567</c:v>
                </c:pt>
                <c:pt idx="10">
                  <c:v>352.83664355411628</c:v>
                </c:pt>
                <c:pt idx="11">
                  <c:v>326.11221284176196</c:v>
                </c:pt>
                <c:pt idx="12">
                  <c:v>301.41079472845308</c:v>
                </c:pt>
                <c:pt idx="13">
                  <c:v>278.58040722754549</c:v>
                </c:pt>
                <c:pt idx="14">
                  <c:v>257.47979645143488</c:v>
                </c:pt>
                <c:pt idx="15">
                  <c:v>237.97726405264575</c:v>
                </c:pt>
                <c:pt idx="16">
                  <c:v>219.9523345718043</c:v>
                </c:pt>
                <c:pt idx="17">
                  <c:v>203.29219827766022</c:v>
                </c:pt>
                <c:pt idx="18">
                  <c:v>187.89403041984767</c:v>
                </c:pt>
                <c:pt idx="19">
                  <c:v>173.66145850478082</c:v>
                </c:pt>
                <c:pt idx="20">
                  <c:v>163.08692820318655</c:v>
                </c:pt>
                <c:pt idx="21">
                  <c:v>153.43318156236165</c:v>
                </c:pt>
                <c:pt idx="22">
                  <c:v>144.59726017098177</c:v>
                </c:pt>
                <c:pt idx="23">
                  <c:v>136.49012999696487</c:v>
                </c:pt>
                <c:pt idx="24">
                  <c:v>129.03448884838892</c:v>
                </c:pt>
                <c:pt idx="25">
                  <c:v>122.16296533728368</c:v>
                </c:pt>
                <c:pt idx="26">
                  <c:v>115.81663158277225</c:v>
                </c:pt>
                <c:pt idx="27">
                  <c:v>109.94376882190858</c:v>
                </c:pt>
                <c:pt idx="28">
                  <c:v>104.49883803335118</c:v>
                </c:pt>
                <c:pt idx="29">
                  <c:v>99.441617632811727</c:v>
                </c:pt>
                <c:pt idx="30">
                  <c:v>94.736478008915142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83D-4C5F-ADC8-70B4283D4237}"/>
            </c:ext>
          </c:extLst>
        </c:ser>
        <c:ser>
          <c:idx val="11"/>
          <c:order val="11"/>
          <c:tx>
            <c:v>10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Spherical!$O$3:$O$33</c:f>
              <c:numCache>
                <c:formatCode>General</c:formatCode>
                <c:ptCount val="31"/>
                <c:pt idx="0">
                  <c:v>1144.0665048331546</c:v>
                </c:pt>
                <c:pt idx="1">
                  <c:v>1058.5774068952585</c:v>
                </c:pt>
                <c:pt idx="2">
                  <c:v>979.13211775267553</c:v>
                </c:pt>
                <c:pt idx="3">
                  <c:v>905.33886382423475</c:v>
                </c:pt>
                <c:pt idx="4">
                  <c:v>836.81645747702942</c:v>
                </c:pt>
                <c:pt idx="5">
                  <c:v>773.1970371997304</c:v>
                </c:pt>
                <c:pt idx="6">
                  <c:v>714.16733466805067</c:v>
                </c:pt>
                <c:pt idx="7">
                  <c:v>659.40107881713743</c:v>
                </c:pt>
                <c:pt idx="8">
                  <c:v>608.6137524627602</c:v>
                </c:pt>
                <c:pt idx="9">
                  <c:v>561.52864075642162</c:v>
                </c:pt>
                <c:pt idx="10">
                  <c:v>517.89734199270436</c:v>
                </c:pt>
                <c:pt idx="11">
                  <c:v>478.6709410928961</c:v>
                </c:pt>
                <c:pt idx="12">
                  <c:v>442.41393939525068</c:v>
                </c:pt>
                <c:pt idx="13">
                  <c:v>408.90325613887842</c:v>
                </c:pt>
                <c:pt idx="14">
                  <c:v>377.93155737966441</c:v>
                </c:pt>
                <c:pt idx="15">
                  <c:v>349.30553489594701</c:v>
                </c:pt>
                <c:pt idx="16">
                  <c:v>322.8483535394364</c:v>
                </c:pt>
                <c:pt idx="17">
                  <c:v>298.39442999832886</c:v>
                </c:pt>
                <c:pt idx="18">
                  <c:v>275.79283702093875</c:v>
                </c:pt>
                <c:pt idx="19">
                  <c:v>254.90211804604687</c:v>
                </c:pt>
                <c:pt idx="20">
                  <c:v>239.38071108317558</c:v>
                </c:pt>
                <c:pt idx="21">
                  <c:v>225.21084007660201</c:v>
                </c:pt>
                <c:pt idx="22">
                  <c:v>212.24138158567783</c:v>
                </c:pt>
                <c:pt idx="23">
                  <c:v>200.34165052027834</c:v>
                </c:pt>
                <c:pt idx="24">
                  <c:v>189.3981819088423</c:v>
                </c:pt>
                <c:pt idx="25">
                  <c:v>179.31208731845445</c:v>
                </c:pt>
                <c:pt idx="26">
                  <c:v>169.9968717848503</c:v>
                </c:pt>
                <c:pt idx="27">
                  <c:v>161.37662196300116</c:v>
                </c:pt>
                <c:pt idx="28">
                  <c:v>153.38449519769929</c:v>
                </c:pt>
                <c:pt idx="29">
                  <c:v>145.96145382385473</c:v>
                </c:pt>
                <c:pt idx="30">
                  <c:v>139.05520032258863</c:v>
                </c:pt>
              </c:numCache>
            </c:numRef>
          </c:xVal>
          <c:yVal>
            <c:numRef>
              <c:f>Spherical!$A$3:$A$33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83D-4C5F-ADC8-70B4283D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20352"/>
        <c:axId val="169239296"/>
      </c:scatterChart>
      <c:valAx>
        <c:axId val="169220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Terminal Velocity </a:t>
                </a:r>
                <a:r>
                  <a:rPr lang="en-US" baseline="0"/>
                  <a:t>(m/sec)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239296"/>
        <c:crosses val="autoZero"/>
        <c:crossBetween val="midCat"/>
      </c:valAx>
      <c:valAx>
        <c:axId val="16923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(meters)</a:t>
                </a: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9220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Terminal Velocity </a:t>
            </a:r>
            <a:r>
              <a:rPr lang="en-US" baseline="0"/>
              <a:t>for Square Meteorites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 gm Carbonaceous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Cubic!$D$3:$D$33</c:f>
              <c:numCache>
                <c:formatCode>General</c:formatCode>
                <c:ptCount val="31"/>
                <c:pt idx="0">
                  <c:v>137.61634191255578</c:v>
                </c:pt>
                <c:pt idx="1">
                  <c:v>127.33311372440673</c:v>
                </c:pt>
                <c:pt idx="2">
                  <c:v>117.77687724007581</c:v>
                </c:pt>
                <c:pt idx="3">
                  <c:v>108.90050718592643</c:v>
                </c:pt>
                <c:pt idx="4">
                  <c:v>100.65815164041267</c:v>
                </c:pt>
                <c:pt idx="5">
                  <c:v>93.005561641340748</c:v>
                </c:pt>
                <c:pt idx="6">
                  <c:v>85.905055077886388</c:v>
                </c:pt>
                <c:pt idx="7">
                  <c:v>79.31738577840899</c:v>
                </c:pt>
                <c:pt idx="8">
                  <c:v>73.208330020826267</c:v>
                </c:pt>
                <c:pt idx="9">
                  <c:v>67.544602602711393</c:v>
                </c:pt>
                <c:pt idx="10">
                  <c:v>62.296324025031829</c:v>
                </c:pt>
                <c:pt idx="11">
                  <c:v>57.577897451557192</c:v>
                </c:pt>
                <c:pt idx="12">
                  <c:v>53.216651036887505</c:v>
                </c:pt>
                <c:pt idx="13">
                  <c:v>49.185751062759849</c:v>
                </c:pt>
                <c:pt idx="14">
                  <c:v>45.460257948456793</c:v>
                </c:pt>
                <c:pt idx="15">
                  <c:v>42.016919225512304</c:v>
                </c:pt>
                <c:pt idx="16">
                  <c:v>38.834463922242115</c:v>
                </c:pt>
                <c:pt idx="17">
                  <c:v>35.892974516757484</c:v>
                </c:pt>
                <c:pt idx="18">
                  <c:v>33.174296420855583</c:v>
                </c:pt>
                <c:pt idx="19">
                  <c:v>30.661414247395662</c:v>
                </c:pt>
                <c:pt idx="20">
                  <c:v>28.794390574783272</c:v>
                </c:pt>
                <c:pt idx="21">
                  <c:v>27.089939124575121</c:v>
                </c:pt>
                <c:pt idx="22">
                  <c:v>25.529881709584188</c:v>
                </c:pt>
                <c:pt idx="23">
                  <c:v>24.098498610747377</c:v>
                </c:pt>
                <c:pt idx="24">
                  <c:v>22.782141465617659</c:v>
                </c:pt>
                <c:pt idx="25">
                  <c:v>21.568915280033622</c:v>
                </c:pt>
                <c:pt idx="26">
                  <c:v>20.448415833151756</c:v>
                </c:pt>
                <c:pt idx="27">
                  <c:v>19.411511735493338</c:v>
                </c:pt>
                <c:pt idx="28">
                  <c:v>18.450162683759096</c:v>
                </c:pt>
                <c:pt idx="29">
                  <c:v>17.557267213593207</c:v>
                </c:pt>
                <c:pt idx="30">
                  <c:v>16.726534612691108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8F-4A35-BF20-689B3F49E8C1}"/>
            </c:ext>
          </c:extLst>
        </c:ser>
        <c:ser>
          <c:idx val="1"/>
          <c:order val="1"/>
          <c:tx>
            <c:v>100 gm Carbonaceous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Cubic!$E$3:$E$33</c:f>
              <c:numCache>
                <c:formatCode>General</c:formatCode>
                <c:ptCount val="31"/>
                <c:pt idx="0">
                  <c:v>201.99471623286951</c:v>
                </c:pt>
                <c:pt idx="1">
                  <c:v>186.90088558052673</c:v>
                </c:pt>
                <c:pt idx="2">
                  <c:v>172.87414100877251</c:v>
                </c:pt>
                <c:pt idx="3">
                  <c:v>159.84531154457164</c:v>
                </c:pt>
                <c:pt idx="4">
                  <c:v>147.74709525450061</c:v>
                </c:pt>
                <c:pt idx="5">
                  <c:v>136.51454304575751</c:v>
                </c:pt>
                <c:pt idx="6">
                  <c:v>126.09234471915212</c:v>
                </c:pt>
                <c:pt idx="7">
                  <c:v>116.42289433055321</c:v>
                </c:pt>
                <c:pt idx="8">
                  <c:v>107.45595794019482</c:v>
                </c:pt>
                <c:pt idx="9">
                  <c:v>99.142679177347134</c:v>
                </c:pt>
                <c:pt idx="10">
                  <c:v>91.439200598596244</c:v>
                </c:pt>
                <c:pt idx="11">
                  <c:v>84.513444372782175</c:v>
                </c:pt>
                <c:pt idx="12">
                  <c:v>78.111960946398156</c:v>
                </c:pt>
                <c:pt idx="13">
                  <c:v>72.195363505126451</c:v>
                </c:pt>
                <c:pt idx="14">
                  <c:v>66.727045469690466</c:v>
                </c:pt>
                <c:pt idx="15">
                  <c:v>61.672876621947218</c:v>
                </c:pt>
                <c:pt idx="16">
                  <c:v>57.001635205602014</c:v>
                </c:pt>
                <c:pt idx="17">
                  <c:v>52.684086072226528</c:v>
                </c:pt>
                <c:pt idx="18">
                  <c:v>48.693581726026359</c:v>
                </c:pt>
                <c:pt idx="19">
                  <c:v>45.005146802525736</c:v>
                </c:pt>
                <c:pt idx="20">
                  <c:v>42.264709789681547</c:v>
                </c:pt>
                <c:pt idx="21">
                  <c:v>39.762897997327208</c:v>
                </c:pt>
                <c:pt idx="22">
                  <c:v>37.473029290830759</c:v>
                </c:pt>
                <c:pt idx="23">
                  <c:v>35.372030100968651</c:v>
                </c:pt>
                <c:pt idx="24">
                  <c:v>33.439867217576911</c:v>
                </c:pt>
                <c:pt idx="25">
                  <c:v>31.659081042930193</c:v>
                </c:pt>
                <c:pt idx="26">
                  <c:v>30.01440015208216</c:v>
                </c:pt>
                <c:pt idx="27">
                  <c:v>28.492421395370986</c:v>
                </c:pt>
                <c:pt idx="28">
                  <c:v>27.08134313092193</c:v>
                </c:pt>
                <c:pt idx="29">
                  <c:v>25.770741754550674</c:v>
                </c:pt>
                <c:pt idx="30">
                  <c:v>24.551383692473721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F-4A35-BF20-689B3F49E8C1}"/>
            </c:ext>
          </c:extLst>
        </c:ser>
        <c:ser>
          <c:idx val="2"/>
          <c:order val="2"/>
          <c:tx>
            <c:v>1 kg Carbonaceousg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Cubic!$F$3:$F$33</c:f>
              <c:numCache>
                <c:formatCode>General</c:formatCode>
                <c:ptCount val="31"/>
                <c:pt idx="0">
                  <c:v>296.48997218603438</c:v>
                </c:pt>
                <c:pt idx="1">
                  <c:v>274.33508856455086</c:v>
                </c:pt>
                <c:pt idx="2">
                  <c:v>253.74648513224344</c:v>
                </c:pt>
                <c:pt idx="3">
                  <c:v>234.6226320062828</c:v>
                </c:pt>
                <c:pt idx="4">
                  <c:v>216.86474269986883</c:v>
                </c:pt>
                <c:pt idx="5">
                  <c:v>200.37748425044958</c:v>
                </c:pt>
                <c:pt idx="6">
                  <c:v>185.0796717650469</c:v>
                </c:pt>
                <c:pt idx="7">
                  <c:v>170.88675063207609</c:v>
                </c:pt>
                <c:pt idx="8">
                  <c:v>157.7249869456125</c:v>
                </c:pt>
                <c:pt idx="9">
                  <c:v>145.52266881007318</c:v>
                </c:pt>
                <c:pt idx="10">
                  <c:v>134.21542180804542</c:v>
                </c:pt>
                <c:pt idx="11">
                  <c:v>124.04972386775086</c:v>
                </c:pt>
                <c:pt idx="12">
                  <c:v>114.65355906485631</c:v>
                </c:pt>
                <c:pt idx="13">
                  <c:v>105.96911501842757</c:v>
                </c:pt>
                <c:pt idx="14">
                  <c:v>97.942660205809162</c:v>
                </c:pt>
                <c:pt idx="15">
                  <c:v>90.524097933302187</c:v>
                </c:pt>
                <c:pt idx="16">
                  <c:v>83.667600578144771</c:v>
                </c:pt>
                <c:pt idx="17">
                  <c:v>77.330256481527101</c:v>
                </c:pt>
                <c:pt idx="18">
                  <c:v>71.472952168432357</c:v>
                </c:pt>
                <c:pt idx="19">
                  <c:v>66.059028535806448</c:v>
                </c:pt>
                <c:pt idx="20">
                  <c:v>62.036586222122111</c:v>
                </c:pt>
                <c:pt idx="21">
                  <c:v>58.364400520617473</c:v>
                </c:pt>
                <c:pt idx="22">
                  <c:v>55.003307113025031</c:v>
                </c:pt>
                <c:pt idx="23">
                  <c:v>51.919438371394392</c:v>
                </c:pt>
                <c:pt idx="24">
                  <c:v>49.083389338828233</c:v>
                </c:pt>
                <c:pt idx="25">
                  <c:v>46.469532633875659</c:v>
                </c:pt>
                <c:pt idx="26">
                  <c:v>44.055452698139767</c:v>
                </c:pt>
                <c:pt idx="27">
                  <c:v>41.821476247365638</c:v>
                </c:pt>
                <c:pt idx="28">
                  <c:v>39.750280707297655</c:v>
                </c:pt>
                <c:pt idx="29">
                  <c:v>37.826566201917629</c:v>
                </c:pt>
                <c:pt idx="30">
                  <c:v>36.036779594364859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8F-4A35-BF20-689B3F49E8C1}"/>
            </c:ext>
          </c:extLst>
        </c:ser>
        <c:ser>
          <c:idx val="3"/>
          <c:order val="3"/>
          <c:tx>
            <c:v>10 kg Carbonaceous</c:v>
          </c:tx>
          <c:spPr>
            <a:ln>
              <a:solidFill>
                <a:srgbClr val="00B0F0"/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Cubic!$G$3:$G$33</c:f>
              <c:numCache>
                <c:formatCode>General</c:formatCode>
                <c:ptCount val="31"/>
                <c:pt idx="0">
                  <c:v>435.19110423429464</c:v>
                </c:pt>
                <c:pt idx="1">
                  <c:v>402.67193268752129</c:v>
                </c:pt>
                <c:pt idx="2">
                  <c:v>372.45176370074063</c:v>
                </c:pt>
                <c:pt idx="3">
                  <c:v>344.38157064247673</c:v>
                </c:pt>
                <c:pt idx="4">
                  <c:v>318.31635366684276</c:v>
                </c:pt>
                <c:pt idx="5">
                  <c:v>294.11618204722083</c:v>
                </c:pt>
                <c:pt idx="6">
                  <c:v>271.66189174254129</c:v>
                </c:pt>
                <c:pt idx="7">
                  <c:v>250.82937260326921</c:v>
                </c:pt>
                <c:pt idx="8">
                  <c:v>231.51039722561649</c:v>
                </c:pt>
                <c:pt idx="9">
                  <c:v>213.59970613387358</c:v>
                </c:pt>
                <c:pt idx="10">
                  <c:v>197.00280988007788</c:v>
                </c:pt>
                <c:pt idx="11">
                  <c:v>182.0814913635339</c:v>
                </c:pt>
                <c:pt idx="12">
                  <c:v>168.28970169189756</c:v>
                </c:pt>
                <c:pt idx="13">
                  <c:v>155.5425832434704</c:v>
                </c:pt>
                <c:pt idx="14">
                  <c:v>143.76126832332073</c:v>
                </c:pt>
                <c:pt idx="15">
                  <c:v>132.87222447674688</c:v>
                </c:pt>
                <c:pt idx="16">
                  <c:v>122.8081854363364</c:v>
                </c:pt>
                <c:pt idx="17">
                  <c:v>113.50616501728075</c:v>
                </c:pt>
                <c:pt idx="18">
                  <c:v>104.9087520489508</c:v>
                </c:pt>
                <c:pt idx="19">
                  <c:v>96.962137913737251</c:v>
                </c:pt>
                <c:pt idx="20">
                  <c:v>91.057954715552526</c:v>
                </c:pt>
                <c:pt idx="21">
                  <c:v>85.667881862132532</c:v>
                </c:pt>
                <c:pt idx="22">
                  <c:v>80.734433554589202</c:v>
                </c:pt>
                <c:pt idx="23">
                  <c:v>76.207898531874264</c:v>
                </c:pt>
                <c:pt idx="24">
                  <c:v>72.045115888518453</c:v>
                </c:pt>
                <c:pt idx="25">
                  <c:v>68.208469484083636</c:v>
                </c:pt>
                <c:pt idx="26">
                  <c:v>64.665057525841902</c:v>
                </c:pt>
                <c:pt idx="27">
                  <c:v>61.386003359936474</c:v>
                </c:pt>
                <c:pt idx="28">
                  <c:v>58.345880729408634</c:v>
                </c:pt>
                <c:pt idx="29">
                  <c:v>55.522232315078561</c:v>
                </c:pt>
                <c:pt idx="30">
                  <c:v>52.895164679900944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F-4A35-BF20-689B3F49E8C1}"/>
            </c:ext>
          </c:extLst>
        </c:ser>
        <c:ser>
          <c:idx val="4"/>
          <c:order val="4"/>
          <c:tx>
            <c:v>10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Cubic!$H$3:$H$33</c:f>
              <c:numCache>
                <c:formatCode>General</c:formatCode>
                <c:ptCount val="31"/>
                <c:pt idx="0">
                  <c:v>159.10657409935618</c:v>
                </c:pt>
                <c:pt idx="1">
                  <c:v>147.21751219755126</c:v>
                </c:pt>
                <c:pt idx="2">
                  <c:v>136.168969363363</c:v>
                </c:pt>
                <c:pt idx="3">
                  <c:v>125.90646121842755</c:v>
                </c:pt>
                <c:pt idx="4">
                  <c:v>116.37697558372858</c:v>
                </c:pt>
                <c:pt idx="5">
                  <c:v>107.52935355848247</c:v>
                </c:pt>
                <c:pt idx="6">
                  <c:v>99.320028575850145</c:v>
                </c:pt>
                <c:pt idx="7">
                  <c:v>91.703625763709098</c:v>
                </c:pt>
                <c:pt idx="8">
                  <c:v>84.640577007562399</c:v>
                </c:pt>
                <c:pt idx="9">
                  <c:v>78.092399272236108</c:v>
                </c:pt>
                <c:pt idx="10">
                  <c:v>72.02454706218218</c:v>
                </c:pt>
                <c:pt idx="11">
                  <c:v>66.569288792623297</c:v>
                </c:pt>
                <c:pt idx="12">
                  <c:v>61.52698810218557</c:v>
                </c:pt>
                <c:pt idx="13">
                  <c:v>56.866620906637259</c:v>
                </c:pt>
                <c:pt idx="14">
                  <c:v>52.559353048695321</c:v>
                </c:pt>
                <c:pt idx="15">
                  <c:v>48.578300943564741</c:v>
                </c:pt>
                <c:pt idx="16">
                  <c:v>44.898871934694618</c:v>
                </c:pt>
                <c:pt idx="17">
                  <c:v>41.498038170681362</c:v>
                </c:pt>
                <c:pt idx="18">
                  <c:v>38.354810034354578</c:v>
                </c:pt>
                <c:pt idx="19">
                  <c:v>35.449515007775517</c:v>
                </c:pt>
                <c:pt idx="20">
                  <c:v>33.290936046996926</c:v>
                </c:pt>
                <c:pt idx="21">
                  <c:v>31.320316662755356</c:v>
                </c:pt>
                <c:pt idx="22">
                  <c:v>29.516639953667813</c:v>
                </c:pt>
                <c:pt idx="23">
                  <c:v>27.861731402004978</c:v>
                </c:pt>
                <c:pt idx="24">
                  <c:v>26.339811310669596</c:v>
                </c:pt>
                <c:pt idx="25">
                  <c:v>24.937127157659898</c:v>
                </c:pt>
                <c:pt idx="26">
                  <c:v>23.641649994149194</c:v>
                </c:pt>
                <c:pt idx="27">
                  <c:v>22.442822468615596</c:v>
                </c:pt>
                <c:pt idx="28">
                  <c:v>21.331348700243723</c:v>
                </c:pt>
                <c:pt idx="29">
                  <c:v>20.29901825668928</c:v>
                </c:pt>
                <c:pt idx="30">
                  <c:v>19.338558065077972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8F-4A35-BF20-689B3F49E8C1}"/>
            </c:ext>
          </c:extLst>
        </c:ser>
        <c:ser>
          <c:idx val="5"/>
          <c:order val="5"/>
          <c:tx>
            <c:v>100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Cubic!$I$3:$I$33</c:f>
              <c:numCache>
                <c:formatCode>General</c:formatCode>
                <c:ptCount val="31"/>
                <c:pt idx="0">
                  <c:v>233.53830540274819</c:v>
                </c:pt>
                <c:pt idx="1">
                  <c:v>216.08741511054666</c:v>
                </c:pt>
                <c:pt idx="2">
                  <c:v>199.87024755935093</c:v>
                </c:pt>
                <c:pt idx="3">
                  <c:v>184.80683000469048</c:v>
                </c:pt>
                <c:pt idx="4">
                  <c:v>170.81935061180451</c:v>
                </c:pt>
                <c:pt idx="5">
                  <c:v>157.83271780724354</c:v>
                </c:pt>
                <c:pt idx="6">
                  <c:v>145.78298412529537</c:v>
                </c:pt>
                <c:pt idx="7">
                  <c:v>134.60354785070493</c:v>
                </c:pt>
                <c:pt idx="8">
                  <c:v>124.23633048822539</c:v>
                </c:pt>
                <c:pt idx="9">
                  <c:v>114.62484623346953</c:v>
                </c:pt>
                <c:pt idx="10">
                  <c:v>105.71838884418906</c:v>
                </c:pt>
                <c:pt idx="11">
                  <c:v>97.711103293489316</c:v>
                </c:pt>
                <c:pt idx="12">
                  <c:v>90.309961227287928</c:v>
                </c:pt>
                <c:pt idx="13">
                  <c:v>83.469425167959145</c:v>
                </c:pt>
                <c:pt idx="14">
                  <c:v>77.147172035720061</c:v>
                </c:pt>
                <c:pt idx="15">
                  <c:v>71.303741821631874</c:v>
                </c:pt>
                <c:pt idx="16">
                  <c:v>65.90303716536387</c:v>
                </c:pt>
                <c:pt idx="17">
                  <c:v>60.911257544063368</c:v>
                </c:pt>
                <c:pt idx="18">
                  <c:v>56.297594176554746</c:v>
                </c:pt>
                <c:pt idx="19">
                  <c:v>52.033171533788213</c:v>
                </c:pt>
                <c:pt idx="20">
                  <c:v>48.864786597893243</c:v>
                </c:pt>
                <c:pt idx="21">
                  <c:v>45.972290708300413</c:v>
                </c:pt>
                <c:pt idx="22">
                  <c:v>43.324835035779493</c:v>
                </c:pt>
                <c:pt idx="23">
                  <c:v>40.89574283176718</c:v>
                </c:pt>
                <c:pt idx="24">
                  <c:v>38.661852490649594</c:v>
                </c:pt>
                <c:pt idx="25">
                  <c:v>36.602977915771177</c:v>
                </c:pt>
                <c:pt idx="26">
                  <c:v>34.701462889337876</c:v>
                </c:pt>
                <c:pt idx="27">
                  <c:v>32.941811219580629</c:v>
                </c:pt>
                <c:pt idx="28">
                  <c:v>31.310378314721021</c:v>
                </c:pt>
                <c:pt idx="29">
                  <c:v>29.795112815679975</c:v>
                </c:pt>
                <c:pt idx="30">
                  <c:v>28.385339229482121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8F-4A35-BF20-689B3F49E8C1}"/>
            </c:ext>
          </c:extLst>
        </c:ser>
        <c:ser>
          <c:idx val="6"/>
          <c:order val="6"/>
          <c:tx>
            <c:v>1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Cubic!$J$3:$J$33</c:f>
              <c:numCache>
                <c:formatCode>General</c:formatCode>
                <c:ptCount val="31"/>
                <c:pt idx="0">
                  <c:v>342.78998463211826</c:v>
                </c:pt>
                <c:pt idx="1">
                  <c:v>317.17538404330134</c:v>
                </c:pt>
                <c:pt idx="2">
                  <c:v>293.37165468907841</c:v>
                </c:pt>
                <c:pt idx="3">
                  <c:v>271.26141173272754</c:v>
                </c:pt>
                <c:pt idx="4">
                  <c:v>250.73044214356037</c:v>
                </c:pt>
                <c:pt idx="5">
                  <c:v>231.66852571909519</c:v>
                </c:pt>
                <c:pt idx="6">
                  <c:v>213.98179969557265</c:v>
                </c:pt>
                <c:pt idx="7">
                  <c:v>197.57250537379628</c:v>
                </c:pt>
                <c:pt idx="8">
                  <c:v>182.35539452667621</c:v>
                </c:pt>
                <c:pt idx="9">
                  <c:v>168.24755669554312</c:v>
                </c:pt>
                <c:pt idx="10">
                  <c:v>155.17456472391368</c:v>
                </c:pt>
                <c:pt idx="11">
                  <c:v>143.42138664832657</c:v>
                </c:pt>
                <c:pt idx="12">
                  <c:v>132.55791236406279</c:v>
                </c:pt>
                <c:pt idx="13">
                  <c:v>122.51730148179693</c:v>
                </c:pt>
                <c:pt idx="14">
                  <c:v>113.23743173921594</c:v>
                </c:pt>
                <c:pt idx="15">
                  <c:v>104.66038331954982</c:v>
                </c:pt>
                <c:pt idx="16">
                  <c:v>96.733172137075726</c:v>
                </c:pt>
                <c:pt idx="17">
                  <c:v>89.406185428314643</c:v>
                </c:pt>
                <c:pt idx="18">
                  <c:v>82.63420173973455</c:v>
                </c:pt>
                <c:pt idx="19">
                  <c:v>76.374837265637453</c:v>
                </c:pt>
                <c:pt idx="20">
                  <c:v>71.724248482734993</c:v>
                </c:pt>
                <c:pt idx="21">
                  <c:v>67.478612548055807</c:v>
                </c:pt>
                <c:pt idx="22">
                  <c:v>63.592649225111437</c:v>
                </c:pt>
                <c:pt idx="23">
                  <c:v>60.027202101362711</c:v>
                </c:pt>
                <c:pt idx="24">
                  <c:v>56.748274328118178</c:v>
                </c:pt>
                <c:pt idx="25">
                  <c:v>53.726236540077736</c:v>
                </c:pt>
                <c:pt idx="26">
                  <c:v>50.935172754782577</c:v>
                </c:pt>
                <c:pt idx="27">
                  <c:v>48.352337498725824</c:v>
                </c:pt>
                <c:pt idx="28">
                  <c:v>45.957703096370615</c:v>
                </c:pt>
                <c:pt idx="29">
                  <c:v>43.733580435918412</c:v>
                </c:pt>
                <c:pt idx="30">
                  <c:v>41.664299916330293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8F-4A35-BF20-689B3F49E8C1}"/>
            </c:ext>
          </c:extLst>
        </c:ser>
        <c:ser>
          <c:idx val="7"/>
          <c:order val="7"/>
          <c:tx>
            <c:v>10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Cubic!$K$3:$K$33</c:f>
              <c:numCache>
                <c:formatCode>General</c:formatCode>
                <c:ptCount val="31"/>
                <c:pt idx="0">
                  <c:v>503.15075020110663</c:v>
                </c:pt>
                <c:pt idx="1">
                  <c:v>465.55336964695681</c:v>
                </c:pt>
                <c:pt idx="2">
                  <c:v>430.61400496564926</c:v>
                </c:pt>
                <c:pt idx="3">
                  <c:v>398.16035745737747</c:v>
                </c:pt>
                <c:pt idx="4">
                  <c:v>368.0247840326407</c:v>
                </c:pt>
                <c:pt idx="5">
                  <c:v>340.04550231723846</c:v>
                </c:pt>
                <c:pt idx="6">
                  <c:v>314.08473955782677</c:v>
                </c:pt>
                <c:pt idx="7">
                  <c:v>289.9990045059896</c:v>
                </c:pt>
                <c:pt idx="8">
                  <c:v>267.66316891604725</c:v>
                </c:pt>
                <c:pt idx="9">
                  <c:v>246.95553594343244</c:v>
                </c:pt>
                <c:pt idx="10">
                  <c:v>227.76686062388495</c:v>
                </c:pt>
                <c:pt idx="11">
                  <c:v>210.5154220431302</c:v>
                </c:pt>
                <c:pt idx="12">
                  <c:v>194.56990005892223</c:v>
                </c:pt>
                <c:pt idx="13">
                  <c:v>179.83218564374994</c:v>
                </c:pt>
                <c:pt idx="14">
                  <c:v>166.211095086629</c:v>
                </c:pt>
                <c:pt idx="15">
                  <c:v>153.62161307040947</c:v>
                </c:pt>
                <c:pt idx="16">
                  <c:v>141.98596899596257</c:v>
                </c:pt>
                <c:pt idx="17">
                  <c:v>131.23134072646076</c:v>
                </c:pt>
                <c:pt idx="18">
                  <c:v>121.29135173607217</c:v>
                </c:pt>
                <c:pt idx="19">
                  <c:v>112.10379062834599</c:v>
                </c:pt>
                <c:pt idx="20">
                  <c:v>105.27760742609911</c:v>
                </c:pt>
                <c:pt idx="21">
                  <c:v>99.045818280021322</c:v>
                </c:pt>
                <c:pt idx="22">
                  <c:v>93.341960382038124</c:v>
                </c:pt>
                <c:pt idx="23">
                  <c:v>88.108559537372784</c:v>
                </c:pt>
                <c:pt idx="24">
                  <c:v>83.295714813412161</c:v>
                </c:pt>
                <c:pt idx="25">
                  <c:v>78.859935915669624</c:v>
                </c:pt>
                <c:pt idx="26">
                  <c:v>74.763183092107624</c:v>
                </c:pt>
                <c:pt idx="27">
                  <c:v>70.972070297124716</c:v>
                </c:pt>
                <c:pt idx="28">
                  <c:v>67.457200697607504</c:v>
                </c:pt>
                <c:pt idx="29">
                  <c:v>64.192610028930915</c:v>
                </c:pt>
                <c:pt idx="30">
                  <c:v>61.155298285635183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68F-4A35-BF20-689B3F49E8C1}"/>
            </c:ext>
          </c:extLst>
        </c:ser>
        <c:ser>
          <c:idx val="8"/>
          <c:order val="8"/>
          <c:tx>
            <c:v>10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Cubic!$L$3:$L$33</c:f>
              <c:numCache>
                <c:formatCode>General</c:formatCode>
                <c:ptCount val="31"/>
                <c:pt idx="0">
                  <c:v>202.4075866989225</c:v>
                </c:pt>
                <c:pt idx="1">
                  <c:v>187.28290475991159</c:v>
                </c:pt>
                <c:pt idx="2">
                  <c:v>173.22748998986427</c:v>
                </c:pt>
                <c:pt idx="3">
                  <c:v>160.17203003258257</c:v>
                </c:pt>
                <c:pt idx="4">
                  <c:v>148.04908539173459</c:v>
                </c:pt>
                <c:pt idx="5">
                  <c:v>136.79357422073801</c:v>
                </c:pt>
                <c:pt idx="6">
                  <c:v>126.3500732681994</c:v>
                </c:pt>
                <c:pt idx="7">
                  <c:v>116.66085884535805</c:v>
                </c:pt>
                <c:pt idx="8">
                  <c:v>107.67559433594981</c:v>
                </c:pt>
                <c:pt idx="9">
                  <c:v>99.345323508451827</c:v>
                </c:pt>
                <c:pt idx="10">
                  <c:v>91.626099276297964</c:v>
                </c:pt>
                <c:pt idx="11">
                  <c:v>84.686187035643258</c:v>
                </c:pt>
                <c:pt idx="12">
                  <c:v>78.271619190542879</c:v>
                </c:pt>
                <c:pt idx="13">
                  <c:v>72.342928421343686</c:v>
                </c:pt>
                <c:pt idx="14">
                  <c:v>66.863433326141376</c:v>
                </c:pt>
                <c:pt idx="15">
                  <c:v>61.798933925764899</c:v>
                </c:pt>
                <c:pt idx="16">
                  <c:v>57.118144647690535</c:v>
                </c:pt>
                <c:pt idx="17">
                  <c:v>52.791770587821183</c:v>
                </c:pt>
                <c:pt idx="18">
                  <c:v>48.79310978376941</c:v>
                </c:pt>
                <c:pt idx="19">
                  <c:v>45.097135822247033</c:v>
                </c:pt>
                <c:pt idx="20">
                  <c:v>42.35109744750693</c:v>
                </c:pt>
                <c:pt idx="21">
                  <c:v>39.844172035252278</c:v>
                </c:pt>
                <c:pt idx="22">
                  <c:v>37.549622913457434</c:v>
                </c:pt>
                <c:pt idx="23">
                  <c:v>35.444329351292559</c:v>
                </c:pt>
                <c:pt idx="24">
                  <c:v>33.508217191379963</c:v>
                </c:pt>
                <c:pt idx="25">
                  <c:v>31.72379114915859</c:v>
                </c:pt>
                <c:pt idx="26">
                  <c:v>30.075748585398628</c:v>
                </c:pt>
                <c:pt idx="27">
                  <c:v>28.550658954847162</c:v>
                </c:pt>
                <c:pt idx="28">
                  <c:v>27.136696493466896</c:v>
                </c:pt>
                <c:pt idx="29">
                  <c:v>25.823416291574041</c:v>
                </c:pt>
                <c:pt idx="30">
                  <c:v>24.601565902268121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68F-4A35-BF20-689B3F49E8C1}"/>
            </c:ext>
          </c:extLst>
        </c:ser>
        <c:ser>
          <c:idx val="9"/>
          <c:order val="9"/>
          <c:tx>
            <c:v>100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square"/>
            <c:size val="7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Cubic!$M$3:$M$33</c:f>
              <c:numCache>
                <c:formatCode>General</c:formatCode>
                <c:ptCount val="31"/>
                <c:pt idx="0">
                  <c:v>297.09598780505371</c:v>
                </c:pt>
                <c:pt idx="1">
                  <c:v>274.89582034002842</c:v>
                </c:pt>
                <c:pt idx="2">
                  <c:v>254.26513448867058</c:v>
                </c:pt>
                <c:pt idx="3">
                  <c:v>235.10219284445512</c:v>
                </c:pt>
                <c:pt idx="4">
                  <c:v>217.30800700429617</c:v>
                </c:pt>
                <c:pt idx="5">
                  <c:v>200.78704914824439</c:v>
                </c:pt>
                <c:pt idx="6">
                  <c:v>185.45796844410697</c:v>
                </c:pt>
                <c:pt idx="7">
                  <c:v>171.2360374534918</c:v>
                </c:pt>
                <c:pt idx="8">
                  <c:v>158.04737156082871</c:v>
                </c:pt>
                <c:pt idx="9">
                  <c:v>145.82011229381081</c:v>
                </c:pt>
                <c:pt idx="10">
                  <c:v>134.48975365586219</c:v>
                </c:pt>
                <c:pt idx="11">
                  <c:v>124.30327736787302</c:v>
                </c:pt>
                <c:pt idx="12">
                  <c:v>114.88790711736266</c:v>
                </c:pt>
                <c:pt idx="13">
                  <c:v>106.18571235681758</c:v>
                </c:pt>
                <c:pt idx="14">
                  <c:v>98.142851738141246</c:v>
                </c:pt>
                <c:pt idx="15">
                  <c:v>90.70912617166293</c:v>
                </c:pt>
                <c:pt idx="16">
                  <c:v>83.83861436448764</c:v>
                </c:pt>
                <c:pt idx="17">
                  <c:v>77.48831694780543</c:v>
                </c:pt>
                <c:pt idx="18">
                  <c:v>71.619040499960519</c:v>
                </c:pt>
                <c:pt idx="19">
                  <c:v>66.194050987914281</c:v>
                </c:pt>
                <c:pt idx="20">
                  <c:v>62.163386936237515</c:v>
                </c:pt>
                <c:pt idx="21">
                  <c:v>58.483695409579177</c:v>
                </c:pt>
                <c:pt idx="22">
                  <c:v>55.115732039110874</c:v>
                </c:pt>
                <c:pt idx="23">
                  <c:v>52.025559972579721</c:v>
                </c:pt>
                <c:pt idx="24">
                  <c:v>49.183714150336769</c:v>
                </c:pt>
                <c:pt idx="25">
                  <c:v>46.564514809417787</c:v>
                </c:pt>
                <c:pt idx="26">
                  <c:v>44.145500574771781</c:v>
                </c:pt>
                <c:pt idx="27">
                  <c:v>41.906957950606675</c:v>
                </c:pt>
                <c:pt idx="28">
                  <c:v>39.831528955902535</c:v>
                </c:pt>
                <c:pt idx="29">
                  <c:v>37.903882442204662</c:v>
                </c:pt>
                <c:pt idx="30">
                  <c:v>36.110437570492422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68F-4A35-BF20-689B3F49E8C1}"/>
            </c:ext>
          </c:extLst>
        </c:ser>
        <c:ser>
          <c:idx val="10"/>
          <c:order val="10"/>
          <c:tx>
            <c:v>1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Cubic!$N$3:$N$33</c:f>
              <c:numCache>
                <c:formatCode>General</c:formatCode>
                <c:ptCount val="31"/>
                <c:pt idx="0">
                  <c:v>436.08062034332096</c:v>
                </c:pt>
                <c:pt idx="1">
                  <c:v>403.49498069400232</c:v>
                </c:pt>
                <c:pt idx="2">
                  <c:v>373.21304268926679</c:v>
                </c:pt>
                <c:pt idx="3">
                  <c:v>345.08547509217186</c:v>
                </c:pt>
                <c:pt idx="4">
                  <c:v>318.96698168197969</c:v>
                </c:pt>
                <c:pt idx="5">
                  <c:v>294.71734571833179</c:v>
                </c:pt>
                <c:pt idx="6">
                  <c:v>272.21715959283142</c:v>
                </c:pt>
                <c:pt idx="7">
                  <c:v>251.34205947893534</c:v>
                </c:pt>
                <c:pt idx="8">
                  <c:v>231.9835967596502</c:v>
                </c:pt>
                <c:pt idx="9">
                  <c:v>214.03629681240704</c:v>
                </c:pt>
                <c:pt idx="10">
                  <c:v>197.40547705596171</c:v>
                </c:pt>
                <c:pt idx="11">
                  <c:v>182.45365986180406</c:v>
                </c:pt>
                <c:pt idx="12">
                  <c:v>168.63368023185777</c:v>
                </c:pt>
                <c:pt idx="13">
                  <c:v>155.86050709827452</c:v>
                </c:pt>
                <c:pt idx="14">
                  <c:v>144.05511156318349</c:v>
                </c:pt>
                <c:pt idx="15">
                  <c:v>133.14381087399687</c:v>
                </c:pt>
                <c:pt idx="16">
                  <c:v>123.05920127329409</c:v>
                </c:pt>
                <c:pt idx="17">
                  <c:v>113.7381678346047</c:v>
                </c:pt>
                <c:pt idx="18">
                  <c:v>105.12318204078066</c:v>
                </c:pt>
                <c:pt idx="19">
                  <c:v>97.160325291192152</c:v>
                </c:pt>
                <c:pt idx="20">
                  <c:v>91.244074139378966</c:v>
                </c:pt>
                <c:pt idx="21">
                  <c:v>85.842984156736208</c:v>
                </c:pt>
                <c:pt idx="22">
                  <c:v>80.89945204531935</c:v>
                </c:pt>
                <c:pt idx="23">
                  <c:v>76.363664935919729</c:v>
                </c:pt>
                <c:pt idx="24">
                  <c:v>72.192373703616184</c:v>
                </c:pt>
                <c:pt idx="25">
                  <c:v>68.34788532183353</c:v>
                </c:pt>
                <c:pt idx="26">
                  <c:v>64.79723074767638</c:v>
                </c:pt>
                <c:pt idx="27">
                  <c:v>61.51147430437014</c:v>
                </c:pt>
                <c:pt idx="28">
                  <c:v>58.465137764534511</c:v>
                </c:pt>
                <c:pt idx="29">
                  <c:v>55.635717906977924</c:v>
                </c:pt>
                <c:pt idx="30">
                  <c:v>53.003280633132931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68F-4A35-BF20-689B3F49E8C1}"/>
            </c:ext>
          </c:extLst>
        </c:ser>
        <c:ser>
          <c:idx val="11"/>
          <c:order val="11"/>
          <c:tx>
            <c:v>10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Cubic!$O$3:$O$33</c:f>
              <c:numCache>
                <c:formatCode>General</c:formatCode>
                <c:ptCount val="31"/>
                <c:pt idx="0">
                  <c:v>640.08372796941808</c:v>
                </c:pt>
                <c:pt idx="1">
                  <c:v>592.25418285323508</c:v>
                </c:pt>
                <c:pt idx="2">
                  <c:v>547.80603527687651</c:v>
                </c:pt>
                <c:pt idx="3">
                  <c:v>506.52009527778642</c:v>
                </c:pt>
                <c:pt idx="4">
                  <c:v>468.18309553269654</c:v>
                </c:pt>
                <c:pt idx="5">
                  <c:v>432.58922443314424</c:v>
                </c:pt>
                <c:pt idx="6">
                  <c:v>399.56321423375141</c:v>
                </c:pt>
                <c:pt idx="7">
                  <c:v>368.92252239993906</c:v>
                </c:pt>
                <c:pt idx="8">
                  <c:v>340.50796690934715</c:v>
                </c:pt>
                <c:pt idx="9">
                  <c:v>314.16473099995829</c:v>
                </c:pt>
                <c:pt idx="10">
                  <c:v>289.75383858168897</c:v>
                </c:pt>
                <c:pt idx="11">
                  <c:v>267.80740381001988</c:v>
                </c:pt>
                <c:pt idx="12">
                  <c:v>247.52229213724448</c:v>
                </c:pt>
                <c:pt idx="13">
                  <c:v>228.77369406630521</c:v>
                </c:pt>
                <c:pt idx="14">
                  <c:v>211.44561014846107</c:v>
                </c:pt>
                <c:pt idx="15">
                  <c:v>195.42988806333074</c:v>
                </c:pt>
                <c:pt idx="16">
                  <c:v>180.62759186577887</c:v>
                </c:pt>
                <c:pt idx="17">
                  <c:v>166.94608080191466</c:v>
                </c:pt>
                <c:pt idx="18">
                  <c:v>154.30091390829506</c:v>
                </c:pt>
                <c:pt idx="19">
                  <c:v>142.61294889496716</c:v>
                </c:pt>
                <c:pt idx="20">
                  <c:v>133.92901313585324</c:v>
                </c:pt>
                <c:pt idx="21">
                  <c:v>126.00123636726747</c:v>
                </c:pt>
                <c:pt idx="22">
                  <c:v>118.74506786172589</c:v>
                </c:pt>
                <c:pt idx="23">
                  <c:v>112.08739176510315</c:v>
                </c:pt>
                <c:pt idx="24">
                  <c:v>105.96472655627788</c:v>
                </c:pt>
                <c:pt idx="25">
                  <c:v>100.32174601380571</c:v>
                </c:pt>
                <c:pt idx="26">
                  <c:v>95.11005782924731</c:v>
                </c:pt>
                <c:pt idx="27">
                  <c:v>90.287189911440734</c:v>
                </c:pt>
                <c:pt idx="28">
                  <c:v>85.81574504986375</c:v>
                </c:pt>
                <c:pt idx="29">
                  <c:v>81.662692779415011</c:v>
                </c:pt>
                <c:pt idx="30">
                  <c:v>77.798773620242599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68F-4A35-BF20-689B3F49E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46560"/>
        <c:axId val="169348480"/>
      </c:scatterChart>
      <c:valAx>
        <c:axId val="16934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aseline="0"/>
                  <a:t>Terminal Velocity (m/sec)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348480"/>
        <c:crosses val="autoZero"/>
        <c:crossBetween val="midCat"/>
      </c:valAx>
      <c:valAx>
        <c:axId val="169348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(meters)</a:t>
                </a: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9346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</a:t>
            </a:r>
            <a:r>
              <a:rPr lang="en-US" baseline="0"/>
              <a:t> Fall Time for Square Meteorites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 gm Carbonaceous</c:v>
          </c:tx>
          <c:spPr>
            <a:ln>
              <a:solidFill>
                <a:srgbClr val="00B0F0"/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Cubic!$P$3:$P$33</c:f>
              <c:numCache>
                <c:formatCode>General</c:formatCode>
                <c:ptCount val="31"/>
                <c:pt idx="0">
                  <c:v>820.43115973443628</c:v>
                </c:pt>
                <c:pt idx="1">
                  <c:v>812.88255015080142</c:v>
                </c:pt>
                <c:pt idx="2">
                  <c:v>804.72294803858154</c:v>
                </c:pt>
                <c:pt idx="3">
                  <c:v>795.89983582090508</c:v>
                </c:pt>
                <c:pt idx="4">
                  <c:v>786.35596867076549</c:v>
                </c:pt>
                <c:pt idx="5">
                  <c:v>776.02878880775063</c:v>
                </c:pt>
                <c:pt idx="6">
                  <c:v>764.85002235623983</c:v>
                </c:pt>
                <c:pt idx="7">
                  <c:v>752.74512916113486</c:v>
                </c:pt>
                <c:pt idx="8">
                  <c:v>739.63258620718125</c:v>
                </c:pt>
                <c:pt idx="9">
                  <c:v>725.42329079342767</c:v>
                </c:pt>
                <c:pt idx="10">
                  <c:v>710.01982709408082</c:v>
                </c:pt>
                <c:pt idx="11">
                  <c:v>693.33567285837978</c:v>
                </c:pt>
                <c:pt idx="12">
                  <c:v>675.28424318710324</c:v>
                </c:pt>
                <c:pt idx="13">
                  <c:v>655.75345134050372</c:v>
                </c:pt>
                <c:pt idx="14">
                  <c:v>634.62207960180763</c:v>
                </c:pt>
                <c:pt idx="15">
                  <c:v>611.75897330812234</c:v>
                </c:pt>
                <c:pt idx="16">
                  <c:v>587.02222889961865</c:v>
                </c:pt>
                <c:pt idx="17">
                  <c:v>560.25829798242808</c:v>
                </c:pt>
                <c:pt idx="18">
                  <c:v>531.30102237490394</c:v>
                </c:pt>
                <c:pt idx="19">
                  <c:v>499.97059651979237</c:v>
                </c:pt>
                <c:pt idx="20">
                  <c:v>466.33216531897654</c:v>
                </c:pt>
                <c:pt idx="21">
                  <c:v>430.54395759134655</c:v>
                </c:pt>
                <c:pt idx="22">
                  <c:v>392.53546633662802</c:v>
                </c:pt>
                <c:pt idx="23">
                  <c:v>352.23594442817983</c:v>
                </c:pt>
                <c:pt idx="24">
                  <c:v>309.57441086673208</c:v>
                </c:pt>
                <c:pt idx="25">
                  <c:v>264.47965672209483</c:v>
                </c:pt>
                <c:pt idx="26">
                  <c:v>216.88025078618608</c:v>
                </c:pt>
                <c:pt idx="27">
                  <c:v>166.70454495843001</c:v>
                </c:pt>
                <c:pt idx="28">
                  <c:v>113.88067938255861</c:v>
                </c:pt>
                <c:pt idx="29">
                  <c:v>58.336587352067312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AE-48CE-817A-A3C0C92FEA22}"/>
            </c:ext>
          </c:extLst>
        </c:ser>
        <c:ser>
          <c:idx val="1"/>
          <c:order val="1"/>
          <c:tx>
            <c:v>100 gm Carbonaceous</c:v>
          </c:tx>
          <c:spPr>
            <a:ln>
              <a:solidFill>
                <a:srgbClr val="00B0F0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Cubic!$Q$3:$Q$33</c:f>
              <c:numCache>
                <c:formatCode>General</c:formatCode>
                <c:ptCount val="31"/>
                <c:pt idx="0">
                  <c:v>558.9489522268824</c:v>
                </c:pt>
                <c:pt idx="1">
                  <c:v>553.80618385749449</c:v>
                </c:pt>
                <c:pt idx="2">
                  <c:v>548.2471543190627</c:v>
                </c:pt>
                <c:pt idx="3">
                  <c:v>542.23608407759752</c:v>
                </c:pt>
                <c:pt idx="4">
                  <c:v>535.73397298580312</c:v>
                </c:pt>
                <c:pt idx="5">
                  <c:v>528.698201251147</c:v>
                </c:pt>
                <c:pt idx="6">
                  <c:v>521.08225478065515</c:v>
                </c:pt>
                <c:pt idx="7">
                  <c:v>512.83535034761007</c:v>
                </c:pt>
                <c:pt idx="8">
                  <c:v>503.90194739456433</c:v>
                </c:pt>
                <c:pt idx="9">
                  <c:v>494.22134142395419</c:v>
                </c:pt>
                <c:pt idx="10">
                  <c:v>483.72716431566198</c:v>
                </c:pt>
                <c:pt idx="11">
                  <c:v>472.36046959887989</c:v>
                </c:pt>
                <c:pt idx="12">
                  <c:v>460.0622681212285</c:v>
                </c:pt>
                <c:pt idx="13">
                  <c:v>446.75619666198287</c:v>
                </c:pt>
                <c:pt idx="14">
                  <c:v>432.35967118593425</c:v>
                </c:pt>
                <c:pt idx="15">
                  <c:v>416.78333774725331</c:v>
                </c:pt>
                <c:pt idx="16">
                  <c:v>399.93051931808395</c:v>
                </c:pt>
                <c:pt idx="17">
                  <c:v>381.69660539838515</c:v>
                </c:pt>
                <c:pt idx="18">
                  <c:v>361.96839460564814</c:v>
                </c:pt>
                <c:pt idx="19">
                  <c:v>340.62338777996263</c:v>
                </c:pt>
                <c:pt idx="20">
                  <c:v>317.70596728567261</c:v>
                </c:pt>
                <c:pt idx="21">
                  <c:v>293.32393233479166</c:v>
                </c:pt>
                <c:pt idx="22">
                  <c:v>267.42924743590726</c:v>
                </c:pt>
                <c:pt idx="23">
                  <c:v>239.97371350267321</c:v>
                </c:pt>
                <c:pt idx="24">
                  <c:v>210.90897211439909</c:v>
                </c:pt>
                <c:pt idx="25">
                  <c:v>180.18650956405833</c:v>
                </c:pt>
                <c:pt idx="26">
                  <c:v>147.75766070962163</c:v>
                </c:pt>
                <c:pt idx="27">
                  <c:v>113.57361264305797</c:v>
                </c:pt>
                <c:pt idx="28">
                  <c:v>77.585408189969954</c:v>
                </c:pt>
                <c:pt idx="29">
                  <c:v>39.743949251616172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AE-48CE-817A-A3C0C92FEA22}"/>
            </c:ext>
          </c:extLst>
        </c:ser>
        <c:ser>
          <c:idx val="2"/>
          <c:order val="2"/>
          <c:tx>
            <c:v>1 kg Carbonaceousg</c:v>
          </c:tx>
          <c:spPr>
            <a:ln>
              <a:solidFill>
                <a:srgbClr val="00B0F0"/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Cubic!$R$3:$R$33</c:f>
              <c:numCache>
                <c:formatCode>General</c:formatCode>
                <c:ptCount val="31"/>
                <c:pt idx="0">
                  <c:v>380.8045653661639</c:v>
                </c:pt>
                <c:pt idx="1">
                  <c:v>377.30086495509545</c:v>
                </c:pt>
                <c:pt idx="2">
                  <c:v>373.51357128756763</c:v>
                </c:pt>
                <c:pt idx="3">
                  <c:v>369.41830823793322</c:v>
                </c:pt>
                <c:pt idx="4">
                  <c:v>364.98850551908271</c:v>
                </c:pt>
                <c:pt idx="5">
                  <c:v>360.19512682724155</c:v>
                </c:pt>
                <c:pt idx="6">
                  <c:v>355.00648272299355</c:v>
                </c:pt>
                <c:pt idx="7">
                  <c:v>349.3879752622849</c:v>
                </c:pt>
                <c:pt idx="8">
                  <c:v>343.30176539424218</c:v>
                </c:pt>
                <c:pt idx="9">
                  <c:v>336.7064959435483</c:v>
                </c:pt>
                <c:pt idx="10">
                  <c:v>329.55695118337377</c:v>
                </c:pt>
                <c:pt idx="11">
                  <c:v>321.81297165889458</c:v>
                </c:pt>
                <c:pt idx="12">
                  <c:v>313.43436883689378</c:v>
                </c:pt>
                <c:pt idx="13">
                  <c:v>304.36911746003386</c:v>
                </c:pt>
                <c:pt idx="14">
                  <c:v>294.56095411193564</c:v>
                </c:pt>
                <c:pt idx="15">
                  <c:v>283.94900312520645</c:v>
                </c:pt>
                <c:pt idx="16">
                  <c:v>272.46739971304055</c:v>
                </c:pt>
                <c:pt idx="17">
                  <c:v>260.04487411843763</c:v>
                </c:pt>
                <c:pt idx="18">
                  <c:v>246.60430372922818</c:v>
                </c:pt>
                <c:pt idx="19">
                  <c:v>232.06223147985818</c:v>
                </c:pt>
                <c:pt idx="20">
                  <c:v>216.44889449108192</c:v>
                </c:pt>
                <c:pt idx="21">
                  <c:v>199.83773494740313</c:v>
                </c:pt>
                <c:pt idx="22">
                  <c:v>182.19602690067106</c:v>
                </c:pt>
                <c:pt idx="23">
                  <c:v>163.49093294765956</c:v>
                </c:pt>
                <c:pt idx="24">
                  <c:v>143.68950713275063</c:v>
                </c:pt>
                <c:pt idx="25">
                  <c:v>122.758697705789</c:v>
                </c:pt>
                <c:pt idx="26">
                  <c:v>100.66534974594491</c:v>
                </c:pt>
                <c:pt idx="27">
                  <c:v>77.376207661356247</c:v>
                </c:pt>
                <c:pt idx="28">
                  <c:v>52.857917573384029</c:v>
                </c:pt>
                <c:pt idx="29">
                  <c:v>27.077029593488291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AE-48CE-817A-A3C0C92FEA22}"/>
            </c:ext>
          </c:extLst>
        </c:ser>
        <c:ser>
          <c:idx val="3"/>
          <c:order val="3"/>
          <c:tx>
            <c:v>10 kg Carbonaceous</c:v>
          </c:tx>
          <c:spPr>
            <a:ln>
              <a:solidFill>
                <a:srgbClr val="00B0F0"/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00B0F0"/>
                </a:solidFill>
              </a:ln>
            </c:spPr>
          </c:marker>
          <c:xVal>
            <c:numRef>
              <c:f>Cubic!$S$3:$S$33</c:f>
              <c:numCache>
                <c:formatCode>General</c:formatCode>
                <c:ptCount val="31"/>
                <c:pt idx="0">
                  <c:v>259.43713898376029</c:v>
                </c:pt>
                <c:pt idx="1">
                  <c:v>257.05011400250834</c:v>
                </c:pt>
                <c:pt idx="2">
                  <c:v>254.46988066772693</c:v>
                </c:pt>
                <c:pt idx="3">
                  <c:v>251.67983184580314</c:v>
                </c:pt>
                <c:pt idx="4">
                  <c:v>248.66186554979512</c:v>
                </c:pt>
                <c:pt idx="5">
                  <c:v>245.39619972806</c:v>
                </c:pt>
                <c:pt idx="6">
                  <c:v>241.86124478255749</c:v>
                </c:pt>
                <c:pt idx="7">
                  <c:v>238.03342958931381</c:v>
                </c:pt>
                <c:pt idx="8">
                  <c:v>233.88697490093196</c:v>
                </c:pt>
                <c:pt idx="9">
                  <c:v>229.39370461813024</c:v>
                </c:pt>
                <c:pt idx="10">
                  <c:v>224.52281386126006</c:v>
                </c:pt>
                <c:pt idx="11">
                  <c:v>219.24694252224955</c:v>
                </c:pt>
                <c:pt idx="12">
                  <c:v>213.53871068230035</c:v>
                </c:pt>
                <c:pt idx="13">
                  <c:v>207.36267421824252</c:v>
                </c:pt>
                <c:pt idx="14">
                  <c:v>200.68050160492521</c:v>
                </c:pt>
                <c:pt idx="15">
                  <c:v>193.45071905127952</c:v>
                </c:pt>
                <c:pt idx="16">
                  <c:v>185.62845374483746</c:v>
                </c:pt>
                <c:pt idx="17">
                  <c:v>177.16515053806691</c:v>
                </c:pt>
                <c:pt idx="18">
                  <c:v>168.00826681023287</c:v>
                </c:pt>
                <c:pt idx="19">
                  <c:v>158.10094436087098</c:v>
                </c:pt>
                <c:pt idx="20">
                  <c:v>147.46378334242971</c:v>
                </c:pt>
                <c:pt idx="21">
                  <c:v>136.14681894870995</c:v>
                </c:pt>
                <c:pt idx="22">
                  <c:v>124.12775542191108</c:v>
                </c:pt>
                <c:pt idx="23">
                  <c:v>111.38422107135644</c:v>
                </c:pt>
                <c:pt idx="24">
                  <c:v>97.893770251053297</c:v>
                </c:pt>
                <c:pt idx="25">
                  <c:v>83.633885238582948</c:v>
                </c:pt>
                <c:pt idx="26">
                  <c:v>68.581978022703879</c:v>
                </c:pt>
                <c:pt idx="27">
                  <c:v>52.715392006325111</c:v>
                </c:pt>
                <c:pt idx="28">
                  <c:v>36.011403630867989</c:v>
                </c:pt>
                <c:pt idx="29">
                  <c:v>18.447223927471846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AE-48CE-817A-A3C0C92FEA22}"/>
            </c:ext>
          </c:extLst>
        </c:ser>
        <c:ser>
          <c:idx val="4"/>
          <c:order val="4"/>
          <c:tx>
            <c:v>10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Cubic!$T$3:$T$33</c:f>
              <c:numCache>
                <c:formatCode>General</c:formatCode>
                <c:ptCount val="31"/>
                <c:pt idx="0">
                  <c:v>709.61703268919598</c:v>
                </c:pt>
                <c:pt idx="1">
                  <c:v>703.0879999115989</c:v>
                </c:pt>
                <c:pt idx="2">
                  <c:v>696.03050024194692</c:v>
                </c:pt>
                <c:pt idx="3">
                  <c:v>688.39910955583753</c:v>
                </c:pt>
                <c:pt idx="4">
                  <c:v>680.14431497970986</c:v>
                </c:pt>
                <c:pt idx="5">
                  <c:v>671.21200829743771</c:v>
                </c:pt>
                <c:pt idx="6">
                  <c:v>661.54313726014766</c:v>
                </c:pt>
                <c:pt idx="7">
                  <c:v>651.07322971432689</c:v>
                </c:pt>
                <c:pt idx="8">
                  <c:v>639.73177380837853</c:v>
                </c:pt>
                <c:pt idx="9">
                  <c:v>627.44170177920819</c:v>
                </c:pt>
                <c:pt idx="10">
                  <c:v>614.11875557735459</c:v>
                </c:pt>
                <c:pt idx="11">
                  <c:v>599.68809935325487</c:v>
                </c:pt>
                <c:pt idx="12">
                  <c:v>584.07484307069819</c:v>
                </c:pt>
                <c:pt idx="13">
                  <c:v>567.18203933962047</c:v>
                </c:pt>
                <c:pt idx="14">
                  <c:v>548.90484309719636</c:v>
                </c:pt>
                <c:pt idx="15">
                  <c:v>529.12981449950848</c:v>
                </c:pt>
                <c:pt idx="16">
                  <c:v>507.73421663943293</c:v>
                </c:pt>
                <c:pt idx="17">
                  <c:v>484.58524062211177</c:v>
                </c:pt>
                <c:pt idx="18">
                  <c:v>459.53917094574086</c:v>
                </c:pt>
                <c:pt idx="19">
                  <c:v>432.44048805881886</c:v>
                </c:pt>
                <c:pt idx="20">
                  <c:v>403.34553786120671</c:v>
                </c:pt>
                <c:pt idx="21">
                  <c:v>372.39117749638865</c:v>
                </c:pt>
                <c:pt idx="22">
                  <c:v>339.51642321487532</c:v>
                </c:pt>
                <c:pt idx="23">
                  <c:v>304.66008357423709</c:v>
                </c:pt>
                <c:pt idx="24">
                  <c:v>267.7607648481611</c:v>
                </c:pt>
                <c:pt idx="25">
                  <c:v>228.75687616562456</c:v>
                </c:pt>
                <c:pt idx="26">
                  <c:v>187.58663440037833</c:v>
                </c:pt>
                <c:pt idx="27">
                  <c:v>144.18806882894958</c:v>
                </c:pt>
                <c:pt idx="28">
                  <c:v>98.499025573624891</c:v>
                </c:pt>
                <c:pt idx="29">
                  <c:v>50.457171845335203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AE-48CE-817A-A3C0C92FEA22}"/>
            </c:ext>
          </c:extLst>
        </c:ser>
        <c:ser>
          <c:idx val="5"/>
          <c:order val="5"/>
          <c:tx>
            <c:v>100 gm Ordinary L/H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squar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Cubic!$U$3:$U$33</c:f>
              <c:numCache>
                <c:formatCode>General</c:formatCode>
                <c:ptCount val="31"/>
                <c:pt idx="0">
                  <c:v>483.45274578840127</c:v>
                </c:pt>
                <c:pt idx="1">
                  <c:v>479.00460167930362</c:v>
                </c:pt>
                <c:pt idx="2">
                  <c:v>474.19642003129007</c:v>
                </c:pt>
                <c:pt idx="3">
                  <c:v>468.99725398618818</c:v>
                </c:pt>
                <c:pt idx="4">
                  <c:v>463.37337107483194</c:v>
                </c:pt>
                <c:pt idx="5">
                  <c:v>457.2879080816403</c:v>
                </c:pt>
                <c:pt idx="6">
                  <c:v>450.70063348658533</c:v>
                </c:pt>
                <c:pt idx="7">
                  <c:v>443.56762325993441</c:v>
                </c:pt>
                <c:pt idx="8">
                  <c:v>435.84083860513266</c:v>
                </c:pt>
                <c:pt idx="9">
                  <c:v>427.46777426939815</c:v>
                </c:pt>
                <c:pt idx="10">
                  <c:v>418.39102635247156</c:v>
                </c:pt>
                <c:pt idx="11">
                  <c:v>408.55961017488789</c:v>
                </c:pt>
                <c:pt idx="12">
                  <c:v>397.92250414053188</c:v>
                </c:pt>
                <c:pt idx="13">
                  <c:v>386.4136592683837</c:v>
                </c:pt>
                <c:pt idx="14">
                  <c:v>373.96164599690474</c:v>
                </c:pt>
                <c:pt idx="15">
                  <c:v>360.48917925330608</c:v>
                </c:pt>
                <c:pt idx="16">
                  <c:v>345.91263999798576</c:v>
                </c:pt>
                <c:pt idx="17">
                  <c:v>330.14154727864644</c:v>
                </c:pt>
                <c:pt idx="18">
                  <c:v>313.0779896152095</c:v>
                </c:pt>
                <c:pt idx="19">
                  <c:v>294.61601358387929</c:v>
                </c:pt>
                <c:pt idx="20">
                  <c:v>274.79400690471726</c:v>
                </c:pt>
                <c:pt idx="21">
                  <c:v>253.70520854853487</c:v>
                </c:pt>
                <c:pt idx="22">
                  <c:v>231.30807108935306</c:v>
                </c:pt>
                <c:pt idx="23">
                  <c:v>207.56090560272591</c:v>
                </c:pt>
                <c:pt idx="24">
                  <c:v>182.42188535085984</c:v>
                </c:pt>
                <c:pt idx="25">
                  <c:v>155.84904928386484</c:v>
                </c:pt>
                <c:pt idx="26">
                  <c:v>127.8003053708953</c:v>
                </c:pt>
                <c:pt idx="27">
                  <c:v>98.233433773585858</c:v>
                </c:pt>
                <c:pt idx="28">
                  <c:v>67.106089872997373</c:v>
                </c:pt>
                <c:pt idx="29">
                  <c:v>34.375807160238573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AE-48CE-817A-A3C0C92FEA22}"/>
            </c:ext>
          </c:extLst>
        </c:ser>
        <c:ser>
          <c:idx val="6"/>
          <c:order val="6"/>
          <c:tx>
            <c:v>1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Cubic!$V$3:$V$33</c:f>
              <c:numCache>
                <c:formatCode>General</c:formatCode>
                <c:ptCount val="31"/>
                <c:pt idx="0">
                  <c:v>329.36999345210751</c:v>
                </c:pt>
                <c:pt idx="1">
                  <c:v>326.33953140829743</c:v>
                </c:pt>
                <c:pt idx="2">
                  <c:v>323.06378052732941</c:v>
                </c:pt>
                <c:pt idx="3">
                  <c:v>319.52165712199218</c:v>
                </c:pt>
                <c:pt idx="4">
                  <c:v>315.69017970496338</c:v>
                </c:pt>
                <c:pt idx="5">
                  <c:v>311.54423385258872</c:v>
                </c:pt>
                <c:pt idx="6">
                  <c:v>307.05641035972121</c:v>
                </c:pt>
                <c:pt idx="7">
                  <c:v>302.19678436294566</c:v>
                </c:pt>
                <c:pt idx="8">
                  <c:v>296.93262766236137</c:v>
                </c:pt>
                <c:pt idx="9">
                  <c:v>291.22816912021875</c:v>
                </c:pt>
                <c:pt idx="10">
                  <c:v>285.0443002147083</c:v>
                </c:pt>
                <c:pt idx="11">
                  <c:v>278.34628575467053</c:v>
                </c:pt>
                <c:pt idx="12">
                  <c:v>271.09936539811792</c:v>
                </c:pt>
                <c:pt idx="13">
                  <c:v>263.25854084348839</c:v>
                </c:pt>
                <c:pt idx="14">
                  <c:v>254.77514807052097</c:v>
                </c:pt>
                <c:pt idx="15">
                  <c:v>245.59653377619861</c:v>
                </c:pt>
                <c:pt idx="16">
                  <c:v>235.66572940926969</c:v>
                </c:pt>
                <c:pt idx="17">
                  <c:v>224.92109148766622</c:v>
                </c:pt>
                <c:pt idx="18">
                  <c:v>213.29591420852887</c:v>
                </c:pt>
                <c:pt idx="19">
                  <c:v>200.71801289857609</c:v>
                </c:pt>
                <c:pt idx="20">
                  <c:v>187.21354060630213</c:v>
                </c:pt>
                <c:pt idx="21">
                  <c:v>172.84601981549301</c:v>
                </c:pt>
                <c:pt idx="22">
                  <c:v>157.58714481159464</c:v>
                </c:pt>
                <c:pt idx="23">
                  <c:v>141.4085134790096</c:v>
                </c:pt>
                <c:pt idx="24">
                  <c:v>124.28162981172034</c:v>
                </c:pt>
                <c:pt idx="25">
                  <c:v>106.1779062986455</c:v>
                </c:pt>
                <c:pt idx="26">
                  <c:v>87.068666193102459</c:v>
                </c:pt>
                <c:pt idx="27">
                  <c:v>66.92514567482732</c:v>
                </c:pt>
                <c:pt idx="28">
                  <c:v>45.718495912193376</c:v>
                </c:pt>
                <c:pt idx="29">
                  <c:v>23.419785031553605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AE-48CE-817A-A3C0C92FEA22}"/>
            </c:ext>
          </c:extLst>
        </c:ser>
        <c:ser>
          <c:idx val="7"/>
          <c:order val="7"/>
          <c:tx>
            <c:v>10 kg Ordinary L/H</c:v>
          </c:tx>
          <c:spPr>
            <a:ln>
              <a:solidFill>
                <a:srgbClr val="F79646">
                  <a:lumMod val="7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F79646">
                    <a:lumMod val="75000"/>
                  </a:srgbClr>
                </a:solidFill>
              </a:ln>
            </c:spPr>
          </c:marker>
          <c:xVal>
            <c:numRef>
              <c:f>Cubic!$W$3:$W$33</c:f>
              <c:numCache>
                <c:formatCode>General</c:formatCode>
                <c:ptCount val="31"/>
                <c:pt idx="0">
                  <c:v>224.39544201931818</c:v>
                </c:pt>
                <c:pt idx="1">
                  <c:v>222.33082810984737</c:v>
                </c:pt>
                <c:pt idx="2">
                  <c:v>220.09910214362978</c:v>
                </c:pt>
                <c:pt idx="3">
                  <c:v>217.68590008203034</c:v>
                </c:pt>
                <c:pt idx="4">
                  <c:v>215.07556494017345</c:v>
                </c:pt>
                <c:pt idx="5">
                  <c:v>212.25098659173003</c:v>
                </c:pt>
                <c:pt idx="6">
                  <c:v>209.19349150593948</c:v>
                </c:pt>
                <c:pt idx="7">
                  <c:v>205.88269226716918</c:v>
                </c:pt>
                <c:pt idx="8">
                  <c:v>202.29629158353089</c:v>
                </c:pt>
                <c:pt idx="9">
                  <c:v>198.40991904962519</c:v>
                </c:pt>
                <c:pt idx="10">
                  <c:v>194.19693054421265</c:v>
                </c:pt>
                <c:pt idx="11">
                  <c:v>189.6336614386725</c:v>
                </c:pt>
                <c:pt idx="12">
                  <c:v>184.69642996945589</c:v>
                </c:pt>
                <c:pt idx="13">
                  <c:v>179.3545793858876</c:v>
                </c:pt>
                <c:pt idx="14">
                  <c:v>173.57495553138395</c:v>
                </c:pt>
                <c:pt idx="15">
                  <c:v>167.32168640351853</c:v>
                </c:pt>
                <c:pt idx="16">
                  <c:v>160.55596007803157</c:v>
                </c:pt>
                <c:pt idx="17">
                  <c:v>153.23577966182035</c:v>
                </c:pt>
                <c:pt idx="18">
                  <c:v>145.31569936924726</c:v>
                </c:pt>
                <c:pt idx="19">
                  <c:v>136.74654073235823</c:v>
                </c:pt>
                <c:pt idx="20">
                  <c:v>127.5461214789174</c:v>
                </c:pt>
                <c:pt idx="21">
                  <c:v>117.75771864117029</c:v>
                </c:pt>
                <c:pt idx="22">
                  <c:v>107.36204790829531</c:v>
                </c:pt>
                <c:pt idx="23">
                  <c:v>96.339759292708663</c:v>
                </c:pt>
                <c:pt idx="24">
                  <c:v>84.671438840518945</c:v>
                </c:pt>
                <c:pt idx="25">
                  <c:v>72.33761025663901</c:v>
                </c:pt>
                <c:pt idx="26">
                  <c:v>59.318736450940868</c:v>
                </c:pt>
                <c:pt idx="27">
                  <c:v>45.595221011211514</c:v>
                </c:pt>
                <c:pt idx="28">
                  <c:v>31.147409608115218</c:v>
                </c:pt>
                <c:pt idx="29">
                  <c:v>15.955591336880643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AE-48CE-817A-A3C0C92FEA22}"/>
            </c:ext>
          </c:extLst>
        </c:ser>
        <c:ser>
          <c:idx val="8"/>
          <c:order val="8"/>
          <c:tx>
            <c:v>10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circ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Cubic!$X$3:$X$33</c:f>
              <c:numCache>
                <c:formatCode>General</c:formatCode>
                <c:ptCount val="31"/>
                <c:pt idx="0">
                  <c:v>557.80880961578055</c:v>
                </c:pt>
                <c:pt idx="1">
                  <c:v>552.67653145186421</c:v>
                </c:pt>
                <c:pt idx="2">
                  <c:v>547.12884120734805</c:v>
                </c:pt>
                <c:pt idx="3">
                  <c:v>541.13003233124243</c:v>
                </c:pt>
                <c:pt idx="4">
                  <c:v>534.64118422864999</c:v>
                </c:pt>
                <c:pt idx="5">
                  <c:v>527.61976404277971</c:v>
                </c:pt>
                <c:pt idx="6">
                  <c:v>520.01935255998274</c:v>
                </c:pt>
                <c:pt idx="7">
                  <c:v>511.78927014103454</c:v>
                </c:pt>
                <c:pt idx="8">
                  <c:v>502.87408951997156</c:v>
                </c:pt>
                <c:pt idx="9">
                  <c:v>493.21323002410548</c:v>
                </c:pt>
                <c:pt idx="10">
                  <c:v>482.74045891083654</c:v>
                </c:pt>
                <c:pt idx="11">
                  <c:v>471.39694994821389</c:v>
                </c:pt>
                <c:pt idx="12">
                  <c:v>459.12383430977684</c:v>
                </c:pt>
                <c:pt idx="13">
                  <c:v>445.84490454029844</c:v>
                </c:pt>
                <c:pt idx="14">
                  <c:v>431.47774505926895</c:v>
                </c:pt>
                <c:pt idx="15">
                  <c:v>415.93318418480419</c:v>
                </c:pt>
                <c:pt idx="16">
                  <c:v>399.11474209059656</c:v>
                </c:pt>
                <c:pt idx="17">
                  <c:v>380.91802166082954</c:v>
                </c:pt>
                <c:pt idx="18">
                  <c:v>361.23005242087834</c:v>
                </c:pt>
                <c:pt idx="19">
                  <c:v>339.92858508429867</c:v>
                </c:pt>
                <c:pt idx="20">
                  <c:v>317.05791148440392</c:v>
                </c:pt>
                <c:pt idx="21">
                  <c:v>292.72561094465681</c:v>
                </c:pt>
                <c:pt idx="22">
                  <c:v>266.88374595631456</c:v>
                </c:pt>
                <c:pt idx="23">
                  <c:v>239.4842157494013</c:v>
                </c:pt>
                <c:pt idx="24">
                  <c:v>210.47876054460673</c:v>
                </c:pt>
                <c:pt idx="25">
                  <c:v>179.81896559303698</c:v>
                </c:pt>
                <c:pt idx="26">
                  <c:v>147.45626501969215</c:v>
                </c:pt>
                <c:pt idx="27">
                  <c:v>113.34194548498346</c:v>
                </c:pt>
                <c:pt idx="28">
                  <c:v>77.42714967722975</c:v>
                </c:pt>
                <c:pt idx="29">
                  <c:v>39.662879647863072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7AE-48CE-817A-A3C0C92FEA22}"/>
            </c:ext>
          </c:extLst>
        </c:ser>
        <c:ser>
          <c:idx val="9"/>
          <c:order val="9"/>
          <c:tx>
            <c:v>100 gm Iron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square"/>
            <c:size val="7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Cubic!$Y$3:$Y$33</c:f>
              <c:numCache>
                <c:formatCode>General</c:formatCode>
                <c:ptCount val="31"/>
                <c:pt idx="0">
                  <c:v>380.02780120953321</c:v>
                </c:pt>
                <c:pt idx="1">
                  <c:v>376.53124763740107</c:v>
                </c:pt>
                <c:pt idx="2">
                  <c:v>372.75167928159249</c:v>
                </c:pt>
                <c:pt idx="3">
                  <c:v>368.6647697388176</c:v>
                </c:pt>
                <c:pt idx="4">
                  <c:v>364.24400291996903</c:v>
                </c:pt>
                <c:pt idx="5">
                  <c:v>359.46040174944886</c:v>
                </c:pt>
                <c:pt idx="6">
                  <c:v>354.28234142787642</c:v>
                </c:pt>
                <c:pt idx="7">
                  <c:v>348.67529458399372</c:v>
                </c:pt>
                <c:pt idx="8">
                  <c:v>342.60149935092437</c:v>
                </c:pt>
                <c:pt idx="9">
                  <c:v>336.01968291360942</c:v>
                </c:pt>
                <c:pt idx="10">
                  <c:v>328.88472177614062</c:v>
                </c:pt>
                <c:pt idx="11">
                  <c:v>321.15653840084497</c:v>
                </c:pt>
                <c:pt idx="12">
                  <c:v>312.79502623097045</c:v>
                </c:pt>
                <c:pt idx="13">
                  <c:v>303.74826613016347</c:v>
                </c:pt>
                <c:pt idx="14">
                  <c:v>293.96010944801441</c:v>
                </c:pt>
                <c:pt idx="15">
                  <c:v>283.3698046911577</c:v>
                </c:pt>
                <c:pt idx="16">
                  <c:v>271.91162142360758</c:v>
                </c:pt>
                <c:pt idx="17">
                  <c:v>259.51443526422764</c:v>
                </c:pt>
                <c:pt idx="18">
                  <c:v>246.10128091535103</c:v>
                </c:pt>
                <c:pt idx="19">
                  <c:v>231.58887154692781</c:v>
                </c:pt>
                <c:pt idx="20">
                  <c:v>216.00738260211241</c:v>
                </c:pt>
                <c:pt idx="21">
                  <c:v>199.4301064582327</c:v>
                </c:pt>
                <c:pt idx="22">
                  <c:v>181.82438392144132</c:v>
                </c:pt>
                <c:pt idx="23">
                  <c:v>163.1574445701614</c:v>
                </c:pt>
                <c:pt idx="24">
                  <c:v>143.39640965184904</c:v>
                </c:pt>
                <c:pt idx="25">
                  <c:v>122.50829483522249</c:v>
                </c:pt>
                <c:pt idx="26">
                  <c:v>100.46001282877282</c:v>
                </c:pt>
                <c:pt idx="27">
                  <c:v>77.218375875307245</c:v>
                </c:pt>
                <c:pt idx="28">
                  <c:v>52.75009813134119</c:v>
                </c:pt>
                <c:pt idx="29">
                  <c:v>27.021797939329876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7AE-48CE-817A-A3C0C92FEA22}"/>
            </c:ext>
          </c:extLst>
        </c:ser>
        <c:ser>
          <c:idx val="10"/>
          <c:order val="10"/>
          <c:tx>
            <c:v>1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triangle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Cubic!$Z$3:$Z$33</c:f>
              <c:numCache>
                <c:formatCode>General</c:formatCode>
                <c:ptCount val="31"/>
                <c:pt idx="0">
                  <c:v>258.90793978608895</c:v>
                </c:pt>
                <c:pt idx="1">
                  <c:v>256.52578385215168</c:v>
                </c:pt>
                <c:pt idx="2">
                  <c:v>253.95081367057921</c:v>
                </c:pt>
                <c:pt idx="3">
                  <c:v>251.16645598294639</c:v>
                </c:pt>
                <c:pt idx="4">
                  <c:v>248.154645726697</c:v>
                </c:pt>
                <c:pt idx="5">
                  <c:v>244.89564120156533</c:v>
                </c:pt>
                <c:pt idx="6">
                  <c:v>241.36789684791677</c:v>
                </c:pt>
                <c:pt idx="7">
                  <c:v>237.54788962209452</c:v>
                </c:pt>
                <c:pt idx="8">
                  <c:v>233.40989286114308</c:v>
                </c:pt>
                <c:pt idx="9">
                  <c:v>228.92578793931432</c:v>
                </c:pt>
                <c:pt idx="10">
                  <c:v>224.06483281267262</c:v>
                </c:pt>
                <c:pt idx="11">
                  <c:v>218.79972318222303</c:v>
                </c:pt>
                <c:pt idx="12">
                  <c:v>213.10313497865394</c:v>
                </c:pt>
                <c:pt idx="13">
                  <c:v>206.93969637762515</c:v>
                </c:pt>
                <c:pt idx="14">
                  <c:v>200.27115404253061</c:v>
                </c:pt>
                <c:pt idx="15">
                  <c:v>193.05611878043197</c:v>
                </c:pt>
                <c:pt idx="16">
                  <c:v>185.24980931030677</c:v>
                </c:pt>
                <c:pt idx="17">
                  <c:v>176.80376952728585</c:v>
                </c:pt>
                <c:pt idx="18">
                  <c:v>167.66556398693461</c:v>
                </c:pt>
                <c:pt idx="19">
                  <c:v>157.77845046799732</c:v>
                </c:pt>
                <c:pt idx="20">
                  <c:v>147.16298710278531</c:v>
                </c:pt>
                <c:pt idx="21">
                  <c:v>135.86910702344201</c:v>
                </c:pt>
                <c:pt idx="22">
                  <c:v>123.87455995099529</c:v>
                </c:pt>
                <c:pt idx="23">
                  <c:v>111.15701982848461</c:v>
                </c:pt>
                <c:pt idx="24">
                  <c:v>97.69408679448722</c:v>
                </c:pt>
                <c:pt idx="25">
                  <c:v>83.463289058175732</c:v>
                </c:pt>
                <c:pt idx="26">
                  <c:v>68.442084683274913</c:v>
                </c:pt>
                <c:pt idx="27">
                  <c:v>52.607863287561258</c:v>
                </c:pt>
                <c:pt idx="28">
                  <c:v>35.937947663911494</c:v>
                </c:pt>
                <c:pt idx="29">
                  <c:v>18.409595328344039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AE-48CE-817A-A3C0C92FEA22}"/>
            </c:ext>
          </c:extLst>
        </c:ser>
        <c:ser>
          <c:idx val="11"/>
          <c:order val="11"/>
          <c:tx>
            <c:v>10 kg Iron</c:v>
          </c:tx>
          <c:spPr>
            <a:ln>
              <a:solidFill>
                <a:srgbClr val="EEECE1">
                  <a:lumMod val="25000"/>
                </a:srgbClr>
              </a:solidFill>
            </a:ln>
          </c:spPr>
          <c:marker>
            <c:symbol val="x"/>
            <c:size val="5"/>
            <c:spPr>
              <a:noFill/>
              <a:ln>
                <a:solidFill>
                  <a:srgbClr val="EEECE1">
                    <a:lumMod val="25000"/>
                  </a:srgbClr>
                </a:solidFill>
              </a:ln>
            </c:spPr>
          </c:marker>
          <c:xVal>
            <c:numRef>
              <c:f>Cubic!$AA$3:$AA$33</c:f>
              <c:numCache>
                <c:formatCode>General</c:formatCode>
                <c:ptCount val="31"/>
                <c:pt idx="0">
                  <c:v>176.39057213952987</c:v>
                </c:pt>
                <c:pt idx="1">
                  <c:v>174.76764065098635</c:v>
                </c:pt>
                <c:pt idx="2">
                  <c:v>173.01334735297061</c:v>
                </c:pt>
                <c:pt idx="3">
                  <c:v>171.11640110262221</c:v>
                </c:pt>
                <c:pt idx="4">
                  <c:v>169.06449441055838</c:v>
                </c:pt>
                <c:pt idx="5">
                  <c:v>166.84417751618952</c:v>
                </c:pt>
                <c:pt idx="6">
                  <c:v>164.44077171327677</c:v>
                </c:pt>
                <c:pt idx="7">
                  <c:v>161.83825106174083</c:v>
                </c:pt>
                <c:pt idx="8">
                  <c:v>159.01908832467376</c:v>
                </c:pt>
                <c:pt idx="9">
                  <c:v>155.96412665239541</c:v>
                </c:pt>
                <c:pt idx="10">
                  <c:v>152.6524218949387</c:v>
                </c:pt>
                <c:pt idx="11">
                  <c:v>149.06537199272378</c:v>
                </c:pt>
                <c:pt idx="12">
                  <c:v>145.18436141691433</c:v>
                </c:pt>
                <c:pt idx="13">
                  <c:v>140.9852918090817</c:v>
                </c:pt>
                <c:pt idx="14">
                  <c:v>136.44210167441128</c:v>
                </c:pt>
                <c:pt idx="15">
                  <c:v>131.52659310043728</c:v>
                </c:pt>
                <c:pt idx="16">
                  <c:v>126.2082571897222</c:v>
                </c:pt>
                <c:pt idx="17">
                  <c:v>120.45408143570256</c:v>
                </c:pt>
                <c:pt idx="18">
                  <c:v>114.22834226013717</c:v>
                </c:pt>
                <c:pt idx="19">
                  <c:v>107.49238193441396</c:v>
                </c:pt>
                <c:pt idx="20">
                  <c:v>100.26020644353095</c:v>
                </c:pt>
                <c:pt idx="21">
                  <c:v>92.565834573295859</c:v>
                </c:pt>
                <c:pt idx="22">
                  <c:v>84.394107501459345</c:v>
                </c:pt>
                <c:pt idx="23">
                  <c:v>75.729814779225819</c:v>
                </c:pt>
                <c:pt idx="24">
                  <c:v>66.557695675790853</c:v>
                </c:pt>
                <c:pt idx="25">
                  <c:v>56.862440455793227</c:v>
                </c:pt>
                <c:pt idx="26">
                  <c:v>46.628691594701223</c:v>
                </c:pt>
                <c:pt idx="27">
                  <c:v>35.841044936659323</c:v>
                </c:pt>
                <c:pt idx="28">
                  <c:v>24.4840507988872</c:v>
                </c:pt>
                <c:pt idx="29">
                  <c:v>12.542215026340021</c:v>
                </c:pt>
                <c:pt idx="30">
                  <c:v>0</c:v>
                </c:pt>
              </c:numCache>
            </c:numRef>
          </c:xVal>
          <c:yVal>
            <c:numRef>
              <c:f>Cubic!$A$3:$A$33</c:f>
              <c:numCache>
                <c:formatCode>#,##0</c:formatCode>
                <c:ptCount val="31"/>
                <c:pt idx="0">
                  <c:v>30000</c:v>
                </c:pt>
                <c:pt idx="1">
                  <c:v>29000</c:v>
                </c:pt>
                <c:pt idx="2">
                  <c:v>28000</c:v>
                </c:pt>
                <c:pt idx="3">
                  <c:v>27000</c:v>
                </c:pt>
                <c:pt idx="4">
                  <c:v>26000</c:v>
                </c:pt>
                <c:pt idx="5">
                  <c:v>25000</c:v>
                </c:pt>
                <c:pt idx="6">
                  <c:v>24000</c:v>
                </c:pt>
                <c:pt idx="7">
                  <c:v>23000</c:v>
                </c:pt>
                <c:pt idx="8">
                  <c:v>22000</c:v>
                </c:pt>
                <c:pt idx="9">
                  <c:v>21000</c:v>
                </c:pt>
                <c:pt idx="10">
                  <c:v>20000</c:v>
                </c:pt>
                <c:pt idx="11">
                  <c:v>19000</c:v>
                </c:pt>
                <c:pt idx="12">
                  <c:v>18000</c:v>
                </c:pt>
                <c:pt idx="13">
                  <c:v>17000</c:v>
                </c:pt>
                <c:pt idx="14">
                  <c:v>16000</c:v>
                </c:pt>
                <c:pt idx="15">
                  <c:v>15000</c:v>
                </c:pt>
                <c:pt idx="16">
                  <c:v>14000</c:v>
                </c:pt>
                <c:pt idx="17">
                  <c:v>13000</c:v>
                </c:pt>
                <c:pt idx="18">
                  <c:v>12000</c:v>
                </c:pt>
                <c:pt idx="19">
                  <c:v>11000</c:v>
                </c:pt>
                <c:pt idx="20">
                  <c:v>10000</c:v>
                </c:pt>
                <c:pt idx="21">
                  <c:v>9000</c:v>
                </c:pt>
                <c:pt idx="22">
                  <c:v>8000</c:v>
                </c:pt>
                <c:pt idx="23">
                  <c:v>7000</c:v>
                </c:pt>
                <c:pt idx="24">
                  <c:v>6000</c:v>
                </c:pt>
                <c:pt idx="25">
                  <c:v>5000</c:v>
                </c:pt>
                <c:pt idx="26">
                  <c:v>4000</c:v>
                </c:pt>
                <c:pt idx="27">
                  <c:v>3000</c:v>
                </c:pt>
                <c:pt idx="28">
                  <c:v>2000</c:v>
                </c:pt>
                <c:pt idx="29">
                  <c:v>1000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7AE-48CE-817A-A3C0C92FE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78496"/>
        <c:axId val="169580800"/>
      </c:scatterChart>
      <c:valAx>
        <c:axId val="16957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  <a:r>
                  <a:rPr lang="en-US" baseline="0"/>
                  <a:t> to Fall from Altitude (secs)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580800"/>
        <c:crosses val="autoZero"/>
        <c:crossBetween val="midCat"/>
      </c:valAx>
      <c:valAx>
        <c:axId val="169580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(meters)</a:t>
                </a: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69578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5</xdr:row>
      <xdr:rowOff>76200</xdr:rowOff>
    </xdr:from>
    <xdr:to>
      <xdr:col>14</xdr:col>
      <xdr:colOff>66675</xdr:colOff>
      <xdr:row>30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31</xdr:row>
      <xdr:rowOff>85725</xdr:rowOff>
    </xdr:from>
    <xdr:to>
      <xdr:col>14</xdr:col>
      <xdr:colOff>180975</xdr:colOff>
      <xdr:row>56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85726</xdr:colOff>
      <xdr:row>2</xdr:row>
      <xdr:rowOff>104775</xdr:rowOff>
    </xdr:from>
    <xdr:to>
      <xdr:col>27</xdr:col>
      <xdr:colOff>466726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3</xdr:row>
      <xdr:rowOff>142875</xdr:rowOff>
    </xdr:from>
    <xdr:to>
      <xdr:col>13</xdr:col>
      <xdr:colOff>561975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9525</xdr:rowOff>
    </xdr:from>
    <xdr:to>
      <xdr:col>12</xdr:col>
      <xdr:colOff>352425</xdr:colOff>
      <xdr:row>27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38100</xdr:colOff>
      <xdr:row>3</xdr:row>
      <xdr:rowOff>152400</xdr:rowOff>
    </xdr:from>
    <xdr:to>
      <xdr:col>24</xdr:col>
      <xdr:colOff>352425</xdr:colOff>
      <xdr:row>27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4"/>
  <sheetViews>
    <sheetView topLeftCell="A257" workbookViewId="0">
      <selection activeCell="O26" sqref="O26"/>
    </sheetView>
  </sheetViews>
  <sheetFormatPr defaultRowHeight="12.75" x14ac:dyDescent="0.2"/>
  <cols>
    <col min="1" max="1" width="10.140625" bestFit="1" customWidth="1"/>
  </cols>
  <sheetData>
    <row r="1" spans="1:5" x14ac:dyDescent="0.2">
      <c r="A1" t="s">
        <v>29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">
      <c r="A2" s="4">
        <v>41274</v>
      </c>
      <c r="B2">
        <v>43.9</v>
      </c>
      <c r="C2">
        <v>109.6</v>
      </c>
      <c r="D2">
        <v>104</v>
      </c>
      <c r="E2">
        <v>-3.09</v>
      </c>
    </row>
    <row r="3" spans="1:5" x14ac:dyDescent="0.2">
      <c r="A3" s="4">
        <v>41274</v>
      </c>
      <c r="B3">
        <v>27.2</v>
      </c>
      <c r="C3">
        <v>72.7</v>
      </c>
      <c r="D3">
        <v>38</v>
      </c>
      <c r="E3">
        <v>-5.03</v>
      </c>
    </row>
    <row r="4" spans="1:5" x14ac:dyDescent="0.2">
      <c r="A4" s="4">
        <v>41275</v>
      </c>
      <c r="B4">
        <v>22.7</v>
      </c>
      <c r="C4">
        <v>89.5</v>
      </c>
      <c r="D4">
        <v>82.6</v>
      </c>
      <c r="E4">
        <v>-1.17</v>
      </c>
    </row>
    <row r="5" spans="1:5" x14ac:dyDescent="0.2">
      <c r="A5" s="4">
        <v>41275</v>
      </c>
      <c r="B5">
        <v>56.2</v>
      </c>
      <c r="C5">
        <v>99.5</v>
      </c>
      <c r="D5">
        <v>83.5</v>
      </c>
      <c r="E5">
        <v>-1.31</v>
      </c>
    </row>
    <row r="6" spans="1:5" x14ac:dyDescent="0.2">
      <c r="A6" s="4">
        <v>41277</v>
      </c>
      <c r="B6">
        <v>29</v>
      </c>
      <c r="C6">
        <v>94.9</v>
      </c>
      <c r="D6">
        <v>71.3</v>
      </c>
      <c r="E6">
        <v>-1.76</v>
      </c>
    </row>
    <row r="7" spans="1:5" x14ac:dyDescent="0.2">
      <c r="A7" s="4">
        <v>41277</v>
      </c>
      <c r="B7">
        <v>41</v>
      </c>
      <c r="C7">
        <v>99.1</v>
      </c>
      <c r="D7">
        <v>90.4</v>
      </c>
      <c r="E7">
        <v>-1.97</v>
      </c>
    </row>
    <row r="8" spans="1:5" x14ac:dyDescent="0.2">
      <c r="A8" s="4">
        <v>41277</v>
      </c>
      <c r="B8">
        <v>46.7</v>
      </c>
      <c r="C8">
        <v>101.7</v>
      </c>
      <c r="D8">
        <v>87.7</v>
      </c>
      <c r="E8">
        <v>-5.09</v>
      </c>
    </row>
    <row r="9" spans="1:5" x14ac:dyDescent="0.2">
      <c r="A9" s="4">
        <v>41277</v>
      </c>
      <c r="B9">
        <v>26.7</v>
      </c>
      <c r="C9">
        <v>93.9</v>
      </c>
      <c r="D9">
        <v>76.599999999999994</v>
      </c>
      <c r="E9">
        <v>-2.2400000000000002</v>
      </c>
    </row>
    <row r="10" spans="1:5" x14ac:dyDescent="0.2">
      <c r="A10" s="4">
        <v>41277</v>
      </c>
      <c r="B10">
        <v>40.9</v>
      </c>
      <c r="C10">
        <v>96.5</v>
      </c>
      <c r="D10">
        <v>90.9</v>
      </c>
      <c r="E10">
        <v>-1.1000000000000001</v>
      </c>
    </row>
    <row r="11" spans="1:5" x14ac:dyDescent="0.2">
      <c r="A11" s="4">
        <v>41278</v>
      </c>
      <c r="B11">
        <v>38.4</v>
      </c>
      <c r="C11">
        <v>93</v>
      </c>
      <c r="D11">
        <v>84.4</v>
      </c>
      <c r="E11">
        <v>-0.5</v>
      </c>
    </row>
    <row r="12" spans="1:5" x14ac:dyDescent="0.2">
      <c r="A12" s="4">
        <v>41278</v>
      </c>
      <c r="B12">
        <v>40.9</v>
      </c>
      <c r="C12">
        <v>97.7</v>
      </c>
      <c r="D12">
        <v>89.1</v>
      </c>
      <c r="E12">
        <v>-1.3</v>
      </c>
    </row>
    <row r="13" spans="1:5" x14ac:dyDescent="0.2">
      <c r="A13" s="4">
        <v>41278</v>
      </c>
      <c r="B13">
        <v>37.700000000000003</v>
      </c>
      <c r="C13">
        <v>91.3</v>
      </c>
      <c r="D13">
        <v>85.7</v>
      </c>
      <c r="E13">
        <v>0.3</v>
      </c>
    </row>
    <row r="14" spans="1:5" x14ac:dyDescent="0.2">
      <c r="A14" s="4">
        <v>41278</v>
      </c>
      <c r="B14">
        <v>63.2</v>
      </c>
      <c r="C14">
        <v>93.5</v>
      </c>
      <c r="D14">
        <v>71.5</v>
      </c>
      <c r="E14">
        <v>-3.66</v>
      </c>
    </row>
    <row r="15" spans="1:5" x14ac:dyDescent="0.2">
      <c r="A15" s="4">
        <v>41278</v>
      </c>
      <c r="B15">
        <v>99.7</v>
      </c>
      <c r="C15">
        <v>115.6</v>
      </c>
      <c r="D15">
        <v>72.8</v>
      </c>
      <c r="E15">
        <v>-7.55</v>
      </c>
    </row>
    <row r="16" spans="1:5" x14ac:dyDescent="0.2">
      <c r="A16" s="4">
        <v>41278</v>
      </c>
      <c r="B16">
        <v>42.3</v>
      </c>
      <c r="C16">
        <v>86.8</v>
      </c>
      <c r="D16">
        <v>77.5</v>
      </c>
      <c r="E16">
        <v>-1.5</v>
      </c>
    </row>
    <row r="17" spans="1:5" x14ac:dyDescent="0.2">
      <c r="A17" s="4">
        <v>41278</v>
      </c>
      <c r="B17">
        <v>72.400000000000006</v>
      </c>
      <c r="C17">
        <v>109.3</v>
      </c>
      <c r="D17">
        <v>90.7</v>
      </c>
      <c r="E17">
        <v>-2.2000000000000002</v>
      </c>
    </row>
    <row r="18" spans="1:5" x14ac:dyDescent="0.2">
      <c r="A18" s="4">
        <v>41278</v>
      </c>
      <c r="B18">
        <v>51.8</v>
      </c>
      <c r="C18">
        <v>106.2</v>
      </c>
      <c r="D18">
        <v>101.2</v>
      </c>
      <c r="E18">
        <v>-1.6</v>
      </c>
    </row>
    <row r="19" spans="1:5" x14ac:dyDescent="0.2">
      <c r="A19" s="4">
        <v>41278</v>
      </c>
      <c r="B19">
        <v>66.900000000000006</v>
      </c>
      <c r="C19">
        <v>109.4</v>
      </c>
      <c r="D19">
        <v>91.1</v>
      </c>
      <c r="E19">
        <v>-3.13</v>
      </c>
    </row>
    <row r="20" spans="1:5" x14ac:dyDescent="0.2">
      <c r="A20" s="4">
        <v>41278</v>
      </c>
      <c r="B20">
        <v>40.4</v>
      </c>
      <c r="C20">
        <v>91.9</v>
      </c>
      <c r="D20">
        <v>84.3</v>
      </c>
      <c r="E20">
        <v>-2.2200000000000002</v>
      </c>
    </row>
    <row r="21" spans="1:5" x14ac:dyDescent="0.2">
      <c r="A21" s="4">
        <v>41278</v>
      </c>
      <c r="B21">
        <v>38.6</v>
      </c>
      <c r="C21">
        <v>90.6</v>
      </c>
      <c r="D21">
        <v>82</v>
      </c>
      <c r="E21">
        <v>-2.17</v>
      </c>
    </row>
    <row r="22" spans="1:5" x14ac:dyDescent="0.2">
      <c r="A22" s="4">
        <v>41278</v>
      </c>
      <c r="B22">
        <v>54.9</v>
      </c>
      <c r="C22">
        <v>107.9</v>
      </c>
      <c r="D22">
        <v>97.3</v>
      </c>
      <c r="E22">
        <v>-2.2000000000000002</v>
      </c>
    </row>
    <row r="23" spans="1:5" x14ac:dyDescent="0.2">
      <c r="A23" s="4">
        <v>41278</v>
      </c>
      <c r="B23">
        <v>52.8</v>
      </c>
      <c r="C23">
        <v>93.2</v>
      </c>
      <c r="D23">
        <v>85.9</v>
      </c>
      <c r="E23">
        <v>-2.39</v>
      </c>
    </row>
    <row r="24" spans="1:5" x14ac:dyDescent="0.2">
      <c r="A24" s="4">
        <v>41278</v>
      </c>
      <c r="B24">
        <v>65.900000000000006</v>
      </c>
      <c r="C24">
        <v>101.7</v>
      </c>
      <c r="D24">
        <v>74.2</v>
      </c>
      <c r="E24">
        <v>-5.3</v>
      </c>
    </row>
    <row r="25" spans="1:5" x14ac:dyDescent="0.2">
      <c r="A25" s="4">
        <v>41279</v>
      </c>
      <c r="B25">
        <v>28.2</v>
      </c>
      <c r="C25">
        <v>82.4</v>
      </c>
      <c r="D25">
        <v>76.400000000000006</v>
      </c>
      <c r="E25">
        <v>-1.1000000000000001</v>
      </c>
    </row>
    <row r="26" spans="1:5" x14ac:dyDescent="0.2">
      <c r="A26" s="4"/>
      <c r="B26">
        <v>41.4</v>
      </c>
      <c r="C26">
        <v>91.5</v>
      </c>
      <c r="D26">
        <v>75.7</v>
      </c>
      <c r="E26">
        <v>-2.04</v>
      </c>
    </row>
    <row r="27" spans="1:5" x14ac:dyDescent="0.2">
      <c r="A27" s="4"/>
      <c r="B27">
        <v>46.4</v>
      </c>
      <c r="C27">
        <v>102.7</v>
      </c>
      <c r="D27">
        <v>94.1</v>
      </c>
      <c r="E27">
        <v>-1.76</v>
      </c>
    </row>
    <row r="28" spans="1:5" x14ac:dyDescent="0.2">
      <c r="A28" s="4"/>
      <c r="B28">
        <v>59.6</v>
      </c>
      <c r="C28">
        <v>111.4</v>
      </c>
      <c r="D28">
        <v>81.599999999999994</v>
      </c>
      <c r="E28">
        <v>-4.04</v>
      </c>
    </row>
    <row r="29" spans="1:5" x14ac:dyDescent="0.2">
      <c r="A29" s="4"/>
      <c r="B29">
        <v>63.3</v>
      </c>
      <c r="C29">
        <v>106</v>
      </c>
      <c r="D29">
        <v>98.4</v>
      </c>
      <c r="E29">
        <v>-1.05</v>
      </c>
    </row>
    <row r="30" spans="1:5" x14ac:dyDescent="0.2">
      <c r="A30" s="4"/>
      <c r="B30">
        <v>59</v>
      </c>
      <c r="C30">
        <v>110.4</v>
      </c>
      <c r="D30">
        <v>99.3</v>
      </c>
      <c r="E30">
        <v>-2.33</v>
      </c>
    </row>
    <row r="31" spans="1:5" x14ac:dyDescent="0.2">
      <c r="A31" s="4"/>
      <c r="B31">
        <v>41.5</v>
      </c>
      <c r="C31">
        <v>99</v>
      </c>
      <c r="D31">
        <v>86.4</v>
      </c>
      <c r="E31">
        <v>-1.93</v>
      </c>
    </row>
    <row r="32" spans="1:5" x14ac:dyDescent="0.2">
      <c r="A32" s="4"/>
      <c r="B32">
        <v>92.9</v>
      </c>
      <c r="C32">
        <v>85.2</v>
      </c>
      <c r="D32">
        <v>101.3</v>
      </c>
      <c r="E32">
        <v>-0.2</v>
      </c>
    </row>
    <row r="33" spans="1:5" x14ac:dyDescent="0.2">
      <c r="A33" s="4"/>
      <c r="B33">
        <v>65.5</v>
      </c>
      <c r="C33">
        <v>100.2</v>
      </c>
      <c r="D33">
        <v>94.5</v>
      </c>
      <c r="E33">
        <v>-2.1800000000000002</v>
      </c>
    </row>
    <row r="34" spans="1:5" x14ac:dyDescent="0.2">
      <c r="A34" s="4"/>
      <c r="B34">
        <v>61.6</v>
      </c>
      <c r="C34">
        <v>108.7</v>
      </c>
      <c r="D34">
        <v>100.2</v>
      </c>
      <c r="E34">
        <v>-1.33</v>
      </c>
    </row>
    <row r="35" spans="1:5" x14ac:dyDescent="0.2">
      <c r="A35" s="4">
        <v>41280</v>
      </c>
      <c r="B35">
        <v>19.2</v>
      </c>
      <c r="C35">
        <v>90.7</v>
      </c>
      <c r="D35">
        <v>74.2</v>
      </c>
      <c r="E35">
        <v>-3.35</v>
      </c>
    </row>
    <row r="36" spans="1:5" x14ac:dyDescent="0.2">
      <c r="A36" s="4">
        <v>41281</v>
      </c>
      <c r="B36">
        <v>30.9</v>
      </c>
      <c r="C36">
        <v>87.7</v>
      </c>
      <c r="D36">
        <v>82.8</v>
      </c>
      <c r="E36">
        <v>-1.82</v>
      </c>
    </row>
    <row r="37" spans="1:5" x14ac:dyDescent="0.2">
      <c r="A37" s="4"/>
      <c r="B37">
        <v>30.2</v>
      </c>
      <c r="C37">
        <v>100</v>
      </c>
      <c r="D37">
        <v>84.2</v>
      </c>
      <c r="E37">
        <v>-3.29</v>
      </c>
    </row>
    <row r="38" spans="1:5" x14ac:dyDescent="0.2">
      <c r="A38" s="4"/>
      <c r="B38">
        <v>50.3</v>
      </c>
      <c r="C38">
        <v>95.8</v>
      </c>
      <c r="D38">
        <v>79.2</v>
      </c>
      <c r="E38">
        <v>-4.43</v>
      </c>
    </row>
    <row r="39" spans="1:5" x14ac:dyDescent="0.2">
      <c r="A39" s="4"/>
      <c r="B39">
        <v>51.8</v>
      </c>
      <c r="C39">
        <v>104.6</v>
      </c>
      <c r="D39">
        <v>80.099999999999994</v>
      </c>
      <c r="E39">
        <v>-4.46</v>
      </c>
    </row>
    <row r="40" spans="1:5" x14ac:dyDescent="0.2">
      <c r="A40" s="4"/>
      <c r="B40">
        <v>96</v>
      </c>
      <c r="C40">
        <v>127.5</v>
      </c>
      <c r="D40">
        <v>65.400000000000006</v>
      </c>
      <c r="E40">
        <v>-2.25</v>
      </c>
    </row>
    <row r="41" spans="1:5" x14ac:dyDescent="0.2">
      <c r="A41" s="4"/>
      <c r="B41">
        <v>68.5</v>
      </c>
      <c r="C41">
        <v>102.1</v>
      </c>
      <c r="D41">
        <v>87.3</v>
      </c>
      <c r="E41">
        <v>-1.36</v>
      </c>
    </row>
    <row r="42" spans="1:5" x14ac:dyDescent="0.2">
      <c r="A42" s="4"/>
      <c r="B42">
        <v>49.3</v>
      </c>
      <c r="C42">
        <v>102.8</v>
      </c>
      <c r="D42">
        <v>83.5</v>
      </c>
      <c r="E42">
        <v>-4.68</v>
      </c>
    </row>
    <row r="43" spans="1:5" x14ac:dyDescent="0.2">
      <c r="A43" s="4"/>
      <c r="B43">
        <v>62.5</v>
      </c>
      <c r="C43">
        <v>106.3</v>
      </c>
      <c r="D43">
        <v>91.2</v>
      </c>
      <c r="E43">
        <v>-2.52</v>
      </c>
    </row>
    <row r="44" spans="1:5" x14ac:dyDescent="0.2">
      <c r="A44" s="4"/>
      <c r="B44">
        <v>52.6</v>
      </c>
      <c r="C44">
        <v>105.9</v>
      </c>
      <c r="D44">
        <v>94.2</v>
      </c>
      <c r="E44">
        <v>-3.81</v>
      </c>
    </row>
    <row r="45" spans="1:5" x14ac:dyDescent="0.2">
      <c r="A45" s="4"/>
      <c r="B45">
        <v>52.6</v>
      </c>
      <c r="C45">
        <v>94.9</v>
      </c>
      <c r="D45">
        <v>88.3</v>
      </c>
      <c r="E45">
        <v>-1.54</v>
      </c>
    </row>
    <row r="46" spans="1:5" x14ac:dyDescent="0.2">
      <c r="A46" s="4"/>
      <c r="B46">
        <v>58.3</v>
      </c>
      <c r="C46">
        <v>110.3</v>
      </c>
      <c r="D46">
        <v>76.900000000000006</v>
      </c>
      <c r="E46">
        <v>-4.51</v>
      </c>
    </row>
    <row r="47" spans="1:5" x14ac:dyDescent="0.2">
      <c r="A47" s="4">
        <v>41282</v>
      </c>
      <c r="B47">
        <v>24.8</v>
      </c>
      <c r="C47">
        <v>96.9</v>
      </c>
      <c r="D47">
        <v>82.4</v>
      </c>
      <c r="E47">
        <v>-2.52</v>
      </c>
    </row>
    <row r="48" spans="1:5" x14ac:dyDescent="0.2">
      <c r="A48" s="4"/>
      <c r="B48">
        <v>52.3</v>
      </c>
      <c r="C48">
        <v>92.4</v>
      </c>
      <c r="D48">
        <v>81.5</v>
      </c>
      <c r="E48">
        <v>-2.17</v>
      </c>
    </row>
    <row r="49" spans="1:5" x14ac:dyDescent="0.2">
      <c r="A49" s="4"/>
      <c r="B49">
        <v>40.700000000000003</v>
      </c>
      <c r="C49">
        <v>93.5</v>
      </c>
      <c r="D49">
        <v>75.8</v>
      </c>
      <c r="E49">
        <v>-2.16</v>
      </c>
    </row>
    <row r="50" spans="1:5" x14ac:dyDescent="0.2">
      <c r="A50" s="4"/>
      <c r="B50">
        <v>70</v>
      </c>
      <c r="C50">
        <v>106.9</v>
      </c>
      <c r="D50">
        <v>90.8</v>
      </c>
      <c r="E50">
        <v>-2.5099999999999998</v>
      </c>
    </row>
    <row r="51" spans="1:5" x14ac:dyDescent="0.2">
      <c r="A51" s="4">
        <v>41283</v>
      </c>
      <c r="B51">
        <v>24.7</v>
      </c>
      <c r="C51">
        <v>97.9</v>
      </c>
      <c r="D51">
        <v>82.4</v>
      </c>
      <c r="E51">
        <v>-2.76</v>
      </c>
    </row>
    <row r="52" spans="1:5" x14ac:dyDescent="0.2">
      <c r="A52" s="4">
        <v>41285</v>
      </c>
      <c r="B52">
        <v>58.4</v>
      </c>
      <c r="C52">
        <v>103.6</v>
      </c>
      <c r="D52">
        <v>89.7</v>
      </c>
      <c r="E52">
        <v>-2.76</v>
      </c>
    </row>
    <row r="53" spans="1:5" x14ac:dyDescent="0.2">
      <c r="A53" s="4">
        <v>41286</v>
      </c>
      <c r="B53">
        <v>38.799999999999997</v>
      </c>
      <c r="C53">
        <v>99</v>
      </c>
      <c r="D53">
        <v>73.7</v>
      </c>
      <c r="E53">
        <v>-2.06</v>
      </c>
    </row>
    <row r="54" spans="1:5" x14ac:dyDescent="0.2">
      <c r="A54" s="4">
        <v>41287</v>
      </c>
      <c r="B54">
        <v>67</v>
      </c>
      <c r="C54">
        <v>108.9</v>
      </c>
      <c r="D54">
        <v>91.7</v>
      </c>
      <c r="E54">
        <v>-2.79</v>
      </c>
    </row>
    <row r="55" spans="1:5" x14ac:dyDescent="0.2">
      <c r="A55" s="4">
        <v>41288</v>
      </c>
      <c r="B55">
        <v>58.2</v>
      </c>
      <c r="C55">
        <v>103.1</v>
      </c>
      <c r="D55">
        <v>88.3</v>
      </c>
      <c r="E55">
        <v>-3.97</v>
      </c>
    </row>
    <row r="56" spans="1:5" x14ac:dyDescent="0.2">
      <c r="A56" s="4"/>
      <c r="B56">
        <v>73.3</v>
      </c>
      <c r="C56">
        <v>105.2</v>
      </c>
      <c r="D56">
        <v>94.6</v>
      </c>
      <c r="E56">
        <v>-1.49</v>
      </c>
    </row>
    <row r="57" spans="1:5" x14ac:dyDescent="0.2">
      <c r="A57" s="4">
        <v>41289</v>
      </c>
      <c r="B57">
        <v>62.7</v>
      </c>
      <c r="C57">
        <v>106.7</v>
      </c>
      <c r="D57">
        <v>82.8</v>
      </c>
      <c r="E57">
        <v>-6.21</v>
      </c>
    </row>
    <row r="58" spans="1:5" x14ac:dyDescent="0.2">
      <c r="A58" s="4">
        <v>41290</v>
      </c>
      <c r="B58">
        <v>71.099999999999994</v>
      </c>
      <c r="C58">
        <v>108.1</v>
      </c>
      <c r="D58">
        <v>92.4</v>
      </c>
      <c r="E58">
        <v>-4.59</v>
      </c>
    </row>
    <row r="59" spans="1:5" x14ac:dyDescent="0.2">
      <c r="A59" s="4">
        <v>41292</v>
      </c>
      <c r="B59">
        <v>28.2</v>
      </c>
      <c r="C59">
        <v>86.3</v>
      </c>
      <c r="D59">
        <v>76</v>
      </c>
      <c r="E59">
        <v>-2.5299999999999998</v>
      </c>
    </row>
    <row r="60" spans="1:5" x14ac:dyDescent="0.2">
      <c r="A60" s="4"/>
      <c r="B60">
        <v>20.5</v>
      </c>
      <c r="C60">
        <v>82.6</v>
      </c>
      <c r="D60">
        <v>65.400000000000006</v>
      </c>
      <c r="E60">
        <v>-4.21</v>
      </c>
    </row>
    <row r="61" spans="1:5" x14ac:dyDescent="0.2">
      <c r="A61" s="4"/>
      <c r="B61">
        <v>37.5</v>
      </c>
      <c r="C61">
        <v>93.1</v>
      </c>
      <c r="D61">
        <v>48.5</v>
      </c>
      <c r="E61">
        <v>-4.9000000000000004</v>
      </c>
    </row>
    <row r="62" spans="1:5" x14ac:dyDescent="0.2">
      <c r="A62" s="4"/>
      <c r="B62">
        <v>46.6</v>
      </c>
      <c r="C62">
        <v>96</v>
      </c>
      <c r="D62">
        <v>82.6</v>
      </c>
      <c r="E62">
        <v>-3.12</v>
      </c>
    </row>
    <row r="63" spans="1:5" x14ac:dyDescent="0.2">
      <c r="A63" s="4"/>
      <c r="B63">
        <v>66.599999999999994</v>
      </c>
      <c r="C63">
        <v>104.6</v>
      </c>
      <c r="D63">
        <v>85.9</v>
      </c>
      <c r="E63">
        <v>-3.95</v>
      </c>
    </row>
    <row r="64" spans="1:5" x14ac:dyDescent="0.2">
      <c r="A64" s="4"/>
      <c r="B64">
        <v>68.900000000000006</v>
      </c>
      <c r="C64">
        <v>93.3</v>
      </c>
      <c r="D64">
        <v>83.9</v>
      </c>
      <c r="E64">
        <v>-2.97</v>
      </c>
    </row>
    <row r="65" spans="1:5" x14ac:dyDescent="0.2">
      <c r="A65" s="4"/>
      <c r="B65">
        <v>47.2</v>
      </c>
      <c r="C65">
        <v>107.9</v>
      </c>
      <c r="D65">
        <v>82.2</v>
      </c>
      <c r="E65">
        <v>-4.88</v>
      </c>
    </row>
    <row r="66" spans="1:5" x14ac:dyDescent="0.2">
      <c r="A66" s="4"/>
      <c r="B66">
        <v>67.8</v>
      </c>
      <c r="C66">
        <v>99.2</v>
      </c>
      <c r="D66">
        <v>82</v>
      </c>
      <c r="E66">
        <v>-3.62</v>
      </c>
    </row>
    <row r="67" spans="1:5" x14ac:dyDescent="0.2">
      <c r="A67" s="4">
        <v>41293</v>
      </c>
      <c r="B67">
        <v>16.3</v>
      </c>
      <c r="C67">
        <v>77.3</v>
      </c>
      <c r="D67">
        <v>65.400000000000006</v>
      </c>
      <c r="E67">
        <v>-3.63</v>
      </c>
    </row>
    <row r="68" spans="1:5" x14ac:dyDescent="0.2">
      <c r="A68" s="4"/>
      <c r="B68">
        <v>62.7</v>
      </c>
      <c r="C68">
        <v>109.9</v>
      </c>
      <c r="D68">
        <v>90.4</v>
      </c>
      <c r="E68">
        <v>-7.18</v>
      </c>
    </row>
    <row r="69" spans="1:5" x14ac:dyDescent="0.2">
      <c r="A69" s="4"/>
      <c r="B69">
        <v>15</v>
      </c>
      <c r="C69">
        <v>83</v>
      </c>
      <c r="D69">
        <v>67.099999999999994</v>
      </c>
      <c r="E69">
        <v>-1.85</v>
      </c>
    </row>
    <row r="70" spans="1:5" x14ac:dyDescent="0.2">
      <c r="A70" s="4"/>
      <c r="B70">
        <v>69.599999999999994</v>
      </c>
      <c r="C70">
        <v>110.9</v>
      </c>
      <c r="D70">
        <v>107.3</v>
      </c>
      <c r="E70">
        <v>-1.48</v>
      </c>
    </row>
    <row r="71" spans="1:5" x14ac:dyDescent="0.2">
      <c r="A71" s="4"/>
      <c r="B71">
        <v>67</v>
      </c>
      <c r="C71">
        <v>110.3</v>
      </c>
      <c r="D71">
        <v>97.6</v>
      </c>
      <c r="E71">
        <v>-2.94</v>
      </c>
    </row>
    <row r="72" spans="1:5" x14ac:dyDescent="0.2">
      <c r="A72" s="4"/>
      <c r="B72">
        <v>46.8</v>
      </c>
      <c r="C72">
        <v>105.4</v>
      </c>
      <c r="D72">
        <v>89.5</v>
      </c>
      <c r="E72">
        <v>-4.75</v>
      </c>
    </row>
    <row r="73" spans="1:5" x14ac:dyDescent="0.2">
      <c r="A73" s="4"/>
      <c r="B73">
        <v>56</v>
      </c>
      <c r="C73">
        <v>110.6</v>
      </c>
      <c r="D73">
        <v>103.6</v>
      </c>
      <c r="E73">
        <v>-3.54</v>
      </c>
    </row>
    <row r="74" spans="1:5" x14ac:dyDescent="0.2">
      <c r="A74" s="4"/>
      <c r="B74">
        <v>27.1</v>
      </c>
      <c r="C74">
        <v>87.9</v>
      </c>
      <c r="D74">
        <v>58.9</v>
      </c>
      <c r="E74">
        <v>-2.4300000000000002</v>
      </c>
    </row>
    <row r="75" spans="1:5" x14ac:dyDescent="0.2">
      <c r="A75" s="4"/>
      <c r="B75">
        <v>62.7</v>
      </c>
      <c r="C75">
        <v>106.9</v>
      </c>
      <c r="D75">
        <v>93.7</v>
      </c>
      <c r="E75">
        <v>-4.63</v>
      </c>
    </row>
    <row r="76" spans="1:5" x14ac:dyDescent="0.2">
      <c r="A76" s="4"/>
      <c r="B76">
        <v>66.900000000000006</v>
      </c>
      <c r="C76">
        <v>110.1</v>
      </c>
      <c r="D76">
        <v>99.2</v>
      </c>
      <c r="E76">
        <v>-2.41</v>
      </c>
    </row>
    <row r="77" spans="1:5" x14ac:dyDescent="0.2">
      <c r="A77" s="4"/>
      <c r="B77">
        <v>65.5</v>
      </c>
      <c r="C77">
        <v>106.9</v>
      </c>
      <c r="D77">
        <v>95.8</v>
      </c>
      <c r="E77">
        <v>-2.42</v>
      </c>
    </row>
    <row r="78" spans="1:5" x14ac:dyDescent="0.2">
      <c r="A78" s="4"/>
      <c r="B78">
        <v>42.6</v>
      </c>
      <c r="C78">
        <v>86.5</v>
      </c>
      <c r="D78">
        <v>57.4</v>
      </c>
      <c r="E78">
        <v>-4.59</v>
      </c>
    </row>
    <row r="79" spans="1:5" x14ac:dyDescent="0.2">
      <c r="A79" s="4"/>
      <c r="B79">
        <v>67</v>
      </c>
      <c r="C79">
        <v>106.2</v>
      </c>
      <c r="D79">
        <v>92.5</v>
      </c>
      <c r="E79">
        <v>-3.82</v>
      </c>
    </row>
    <row r="80" spans="1:5" x14ac:dyDescent="0.2">
      <c r="A80" s="4"/>
      <c r="B80">
        <v>39.4</v>
      </c>
      <c r="C80">
        <v>90.1</v>
      </c>
      <c r="D80">
        <v>72.8</v>
      </c>
      <c r="E80">
        <v>-3.61</v>
      </c>
    </row>
    <row r="81" spans="1:5" x14ac:dyDescent="0.2">
      <c r="A81" s="4">
        <v>41294</v>
      </c>
      <c r="B81">
        <v>30.6</v>
      </c>
      <c r="C81">
        <v>99.7</v>
      </c>
      <c r="D81">
        <v>72.7</v>
      </c>
      <c r="E81">
        <v>-6.06</v>
      </c>
    </row>
    <row r="82" spans="1:5" x14ac:dyDescent="0.2">
      <c r="A82" s="4"/>
      <c r="B82">
        <v>16.3</v>
      </c>
      <c r="C82">
        <v>77.8</v>
      </c>
      <c r="D82" s="3">
        <v>28.6</v>
      </c>
      <c r="E82">
        <v>-7.01</v>
      </c>
    </row>
    <row r="83" spans="1:5" x14ac:dyDescent="0.2">
      <c r="A83" s="4"/>
      <c r="B83">
        <v>33.700000000000003</v>
      </c>
      <c r="C83">
        <v>85.4</v>
      </c>
      <c r="D83">
        <v>80.3</v>
      </c>
      <c r="E83">
        <v>-2.98</v>
      </c>
    </row>
    <row r="84" spans="1:5" x14ac:dyDescent="0.2">
      <c r="A84" s="4"/>
      <c r="B84">
        <v>53.7</v>
      </c>
      <c r="C84">
        <v>99.9</v>
      </c>
      <c r="D84">
        <v>87</v>
      </c>
      <c r="E84">
        <v>-4.84</v>
      </c>
    </row>
    <row r="85" spans="1:5" x14ac:dyDescent="0.2">
      <c r="A85" s="4"/>
      <c r="B85">
        <v>66</v>
      </c>
      <c r="C85">
        <v>105.2</v>
      </c>
      <c r="D85">
        <v>95</v>
      </c>
      <c r="E85">
        <v>-2.5</v>
      </c>
    </row>
    <row r="86" spans="1:5" x14ac:dyDescent="0.2">
      <c r="A86" s="4"/>
      <c r="B86">
        <v>63.4</v>
      </c>
      <c r="C86">
        <v>100</v>
      </c>
      <c r="D86">
        <v>77.3</v>
      </c>
      <c r="E86">
        <v>-3.48</v>
      </c>
    </row>
    <row r="87" spans="1:5" x14ac:dyDescent="0.2">
      <c r="A87" s="4"/>
      <c r="B87">
        <v>58</v>
      </c>
      <c r="C87">
        <v>103.4</v>
      </c>
      <c r="D87">
        <v>91</v>
      </c>
      <c r="E87">
        <v>-2.81</v>
      </c>
    </row>
    <row r="88" spans="1:5" x14ac:dyDescent="0.2">
      <c r="A88" s="4"/>
      <c r="B88">
        <v>69.7</v>
      </c>
      <c r="C88">
        <v>99.4</v>
      </c>
      <c r="D88">
        <v>91.2</v>
      </c>
      <c r="E88">
        <v>-3.6</v>
      </c>
    </row>
    <row r="89" spans="1:5" x14ac:dyDescent="0.2">
      <c r="A89" s="4">
        <v>41295</v>
      </c>
      <c r="B89">
        <v>16.8</v>
      </c>
      <c r="C89">
        <v>82.1</v>
      </c>
      <c r="D89" s="3">
        <v>29</v>
      </c>
      <c r="E89">
        <v>-6.91</v>
      </c>
    </row>
    <row r="90" spans="1:5" x14ac:dyDescent="0.2">
      <c r="A90" s="4"/>
      <c r="B90">
        <v>39.6</v>
      </c>
      <c r="C90">
        <v>92.9</v>
      </c>
      <c r="D90">
        <v>85.3</v>
      </c>
      <c r="E90">
        <v>-1.7</v>
      </c>
    </row>
    <row r="91" spans="1:5" x14ac:dyDescent="0.2">
      <c r="A91" s="4"/>
      <c r="B91">
        <v>35.1</v>
      </c>
      <c r="C91">
        <v>93.6</v>
      </c>
      <c r="D91">
        <v>76.900000000000006</v>
      </c>
      <c r="E91">
        <v>-3.27</v>
      </c>
    </row>
    <row r="92" spans="1:5" x14ac:dyDescent="0.2">
      <c r="A92" s="4"/>
      <c r="B92">
        <v>70.900000000000006</v>
      </c>
      <c r="C92">
        <v>124.9</v>
      </c>
      <c r="D92">
        <v>127.6</v>
      </c>
      <c r="E92">
        <v>-1.64</v>
      </c>
    </row>
    <row r="93" spans="1:5" x14ac:dyDescent="0.2">
      <c r="A93" s="4"/>
      <c r="B93">
        <v>29.9</v>
      </c>
      <c r="C93">
        <v>86.8</v>
      </c>
      <c r="D93">
        <v>46.3</v>
      </c>
      <c r="E93">
        <v>-6.28</v>
      </c>
    </row>
    <row r="94" spans="1:5" x14ac:dyDescent="0.2">
      <c r="A94" s="4"/>
      <c r="B94">
        <v>27.4</v>
      </c>
      <c r="C94">
        <v>80.7</v>
      </c>
      <c r="D94">
        <v>66.599999999999994</v>
      </c>
      <c r="E94">
        <v>-3.1</v>
      </c>
    </row>
    <row r="95" spans="1:5" x14ac:dyDescent="0.2">
      <c r="A95" s="4"/>
      <c r="B95">
        <v>41.6</v>
      </c>
      <c r="C95">
        <v>86.8</v>
      </c>
      <c r="D95">
        <v>70.7</v>
      </c>
      <c r="E95">
        <v>-3.67</v>
      </c>
    </row>
    <row r="96" spans="1:5" x14ac:dyDescent="0.2">
      <c r="A96" s="4"/>
      <c r="B96">
        <v>76.400000000000006</v>
      </c>
      <c r="C96">
        <v>107.1</v>
      </c>
      <c r="D96">
        <v>93</v>
      </c>
      <c r="E96">
        <v>-4.66</v>
      </c>
    </row>
    <row r="97" spans="1:5" x14ac:dyDescent="0.2">
      <c r="A97" s="4"/>
      <c r="B97">
        <v>67.8</v>
      </c>
      <c r="C97">
        <v>111</v>
      </c>
      <c r="D97">
        <v>97.9</v>
      </c>
      <c r="E97">
        <v>-3.8</v>
      </c>
    </row>
    <row r="98" spans="1:5" x14ac:dyDescent="0.2">
      <c r="A98" s="4"/>
      <c r="B98">
        <v>32.6</v>
      </c>
      <c r="C98">
        <v>89.8</v>
      </c>
      <c r="D98">
        <v>70</v>
      </c>
      <c r="E98">
        <v>-1.96</v>
      </c>
    </row>
    <row r="99" spans="1:5" x14ac:dyDescent="0.2">
      <c r="A99" s="4"/>
      <c r="B99">
        <v>57.1</v>
      </c>
      <c r="C99">
        <v>103.5</v>
      </c>
      <c r="D99">
        <v>82.5</v>
      </c>
      <c r="E99">
        <v>-2.99</v>
      </c>
    </row>
    <row r="100" spans="1:5" x14ac:dyDescent="0.2">
      <c r="A100" s="4"/>
      <c r="B100">
        <v>53.2</v>
      </c>
      <c r="C100">
        <v>102.5</v>
      </c>
      <c r="D100">
        <v>89.4</v>
      </c>
      <c r="E100">
        <v>-3.26</v>
      </c>
    </row>
    <row r="101" spans="1:5" x14ac:dyDescent="0.2">
      <c r="A101" s="4"/>
      <c r="B101">
        <v>58.9</v>
      </c>
      <c r="C101">
        <v>99.8</v>
      </c>
      <c r="D101">
        <v>87.8</v>
      </c>
      <c r="E101">
        <v>-1.83</v>
      </c>
    </row>
    <row r="102" spans="1:5" x14ac:dyDescent="0.2">
      <c r="A102" s="4">
        <v>41296</v>
      </c>
      <c r="B102">
        <v>46</v>
      </c>
      <c r="C102">
        <v>90.7</v>
      </c>
      <c r="D102">
        <v>83.5</v>
      </c>
      <c r="E102">
        <v>-3.05</v>
      </c>
    </row>
    <row r="103" spans="1:5" x14ac:dyDescent="0.2">
      <c r="A103" s="4"/>
      <c r="B103">
        <v>45.9</v>
      </c>
      <c r="C103">
        <v>105.1</v>
      </c>
      <c r="D103">
        <v>72.900000000000006</v>
      </c>
      <c r="E103">
        <v>-5.1100000000000003</v>
      </c>
    </row>
    <row r="104" spans="1:5" x14ac:dyDescent="0.2">
      <c r="A104" s="4"/>
      <c r="B104">
        <v>58.1</v>
      </c>
      <c r="C104">
        <v>104.9</v>
      </c>
      <c r="D104">
        <v>78.7</v>
      </c>
      <c r="E104">
        <v>-3.41</v>
      </c>
    </row>
    <row r="105" spans="1:5" x14ac:dyDescent="0.2">
      <c r="A105" s="4"/>
      <c r="B105">
        <v>56.7</v>
      </c>
      <c r="C105">
        <v>101.2</v>
      </c>
      <c r="D105">
        <v>94.1</v>
      </c>
      <c r="E105">
        <v>-1.53</v>
      </c>
    </row>
    <row r="106" spans="1:5" x14ac:dyDescent="0.2">
      <c r="A106" s="4"/>
      <c r="B106">
        <v>56.7</v>
      </c>
      <c r="C106">
        <v>100.2</v>
      </c>
      <c r="D106">
        <v>87.7</v>
      </c>
      <c r="E106">
        <v>-4.63</v>
      </c>
    </row>
    <row r="107" spans="1:5" x14ac:dyDescent="0.2">
      <c r="A107" s="4"/>
      <c r="B107">
        <v>70.5</v>
      </c>
      <c r="C107">
        <v>99</v>
      </c>
      <c r="D107">
        <v>72.8</v>
      </c>
      <c r="E107">
        <v>-5.53</v>
      </c>
    </row>
    <row r="108" spans="1:5" x14ac:dyDescent="0.2">
      <c r="A108" s="4"/>
      <c r="B108">
        <v>54.9</v>
      </c>
      <c r="C108">
        <v>99.4</v>
      </c>
      <c r="D108">
        <v>82.6</v>
      </c>
      <c r="E108">
        <v>-3.79</v>
      </c>
    </row>
    <row r="109" spans="1:5" x14ac:dyDescent="0.2">
      <c r="A109" s="4"/>
      <c r="B109">
        <v>66</v>
      </c>
      <c r="C109">
        <v>102.2</v>
      </c>
      <c r="D109">
        <v>89.8</v>
      </c>
      <c r="E109">
        <v>-4.45</v>
      </c>
    </row>
    <row r="110" spans="1:5" x14ac:dyDescent="0.2">
      <c r="A110" s="4">
        <v>41297</v>
      </c>
      <c r="B110">
        <v>65.599999999999994</v>
      </c>
      <c r="C110">
        <v>108.7</v>
      </c>
      <c r="D110">
        <v>97.9</v>
      </c>
      <c r="E110">
        <v>-3.66</v>
      </c>
    </row>
    <row r="111" spans="1:5" x14ac:dyDescent="0.2">
      <c r="A111" s="4">
        <v>41298</v>
      </c>
      <c r="B111">
        <v>24.7</v>
      </c>
      <c r="C111">
        <v>86.1</v>
      </c>
      <c r="D111">
        <v>74</v>
      </c>
      <c r="E111">
        <v>-2.09</v>
      </c>
    </row>
    <row r="112" spans="1:5" x14ac:dyDescent="0.2">
      <c r="A112" s="4"/>
      <c r="B112">
        <v>68.2</v>
      </c>
      <c r="C112">
        <v>101.5</v>
      </c>
      <c r="D112">
        <v>81.900000000000006</v>
      </c>
      <c r="E112">
        <v>-3.95</v>
      </c>
    </row>
    <row r="113" spans="1:5" x14ac:dyDescent="0.2">
      <c r="A113" s="4">
        <v>41301</v>
      </c>
      <c r="B113">
        <v>21.8</v>
      </c>
      <c r="C113">
        <v>91.1</v>
      </c>
      <c r="D113">
        <v>73.3</v>
      </c>
      <c r="E113">
        <v>-2.68</v>
      </c>
    </row>
    <row r="114" spans="1:5" x14ac:dyDescent="0.2">
      <c r="A114" s="4"/>
      <c r="B114">
        <v>24.1</v>
      </c>
      <c r="C114">
        <v>96</v>
      </c>
      <c r="D114">
        <v>53.2</v>
      </c>
      <c r="E114">
        <v>-3.11</v>
      </c>
    </row>
    <row r="115" spans="1:5" x14ac:dyDescent="0.2">
      <c r="A115" s="4"/>
      <c r="B115">
        <v>62.9</v>
      </c>
      <c r="C115">
        <v>107</v>
      </c>
      <c r="D115">
        <v>97</v>
      </c>
      <c r="E115">
        <v>-3.96</v>
      </c>
    </row>
    <row r="116" spans="1:5" x14ac:dyDescent="0.2">
      <c r="A116" s="4"/>
      <c r="B116">
        <v>66</v>
      </c>
      <c r="C116">
        <v>110.5</v>
      </c>
      <c r="D116">
        <v>90.6</v>
      </c>
      <c r="E116">
        <v>-5.46</v>
      </c>
    </row>
    <row r="117" spans="1:5" x14ac:dyDescent="0.2">
      <c r="A117" s="4"/>
      <c r="B117">
        <v>62.8</v>
      </c>
      <c r="C117">
        <v>110.6</v>
      </c>
      <c r="D117">
        <v>97.6</v>
      </c>
      <c r="E117">
        <v>-3.48</v>
      </c>
    </row>
    <row r="118" spans="1:5" x14ac:dyDescent="0.2">
      <c r="A118" s="4">
        <v>41302</v>
      </c>
      <c r="B118">
        <v>73.599999999999994</v>
      </c>
      <c r="C118">
        <v>126.7</v>
      </c>
      <c r="D118">
        <v>104.4</v>
      </c>
      <c r="E118">
        <v>-8.83</v>
      </c>
    </row>
    <row r="119" spans="1:5" x14ac:dyDescent="0.2">
      <c r="A119" s="4">
        <v>41303</v>
      </c>
      <c r="B119">
        <v>39.200000000000003</v>
      </c>
      <c r="C119">
        <v>93.9</v>
      </c>
      <c r="D119">
        <v>56.5</v>
      </c>
      <c r="E119">
        <v>-4.38</v>
      </c>
    </row>
    <row r="120" spans="1:5" x14ac:dyDescent="0.2">
      <c r="A120" s="4"/>
      <c r="B120">
        <v>37</v>
      </c>
      <c r="C120">
        <v>91.9</v>
      </c>
      <c r="D120">
        <v>81.2</v>
      </c>
      <c r="E120">
        <v>-3.46</v>
      </c>
    </row>
    <row r="121" spans="1:5" x14ac:dyDescent="0.2">
      <c r="A121" s="4"/>
      <c r="B121">
        <v>40.799999999999997</v>
      </c>
      <c r="C121">
        <v>88.2</v>
      </c>
      <c r="D121">
        <v>82.4</v>
      </c>
      <c r="E121">
        <v>-2.09</v>
      </c>
    </row>
    <row r="122" spans="1:5" x14ac:dyDescent="0.2">
      <c r="A122" s="4">
        <v>41306</v>
      </c>
      <c r="B122">
        <v>46.1</v>
      </c>
      <c r="C122">
        <v>96.1</v>
      </c>
      <c r="D122">
        <v>88.5</v>
      </c>
      <c r="E122">
        <v>-1.1000000000000001</v>
      </c>
    </row>
    <row r="123" spans="1:5" x14ac:dyDescent="0.2">
      <c r="A123" s="4"/>
      <c r="B123">
        <v>59.6</v>
      </c>
      <c r="C123">
        <v>102.1</v>
      </c>
      <c r="D123">
        <v>82.4</v>
      </c>
      <c r="E123">
        <v>-3.66</v>
      </c>
    </row>
    <row r="124" spans="1:5" x14ac:dyDescent="0.2">
      <c r="A124" s="4"/>
      <c r="B124">
        <v>64.599999999999994</v>
      </c>
      <c r="C124">
        <v>105</v>
      </c>
      <c r="D124">
        <v>98.3</v>
      </c>
      <c r="E124">
        <v>-2.5499999999999998</v>
      </c>
    </row>
    <row r="125" spans="1:5" x14ac:dyDescent="0.2">
      <c r="A125" s="4"/>
      <c r="B125">
        <v>62.2</v>
      </c>
      <c r="C125">
        <v>107</v>
      </c>
      <c r="D125">
        <v>87.4</v>
      </c>
      <c r="E125">
        <v>-5.31</v>
      </c>
    </row>
    <row r="126" spans="1:5" x14ac:dyDescent="0.2">
      <c r="A126" s="4"/>
      <c r="B126">
        <v>62.8</v>
      </c>
      <c r="C126">
        <v>100.5</v>
      </c>
      <c r="D126">
        <v>87.1</v>
      </c>
      <c r="E126">
        <v>-2.2400000000000002</v>
      </c>
    </row>
    <row r="127" spans="1:5" x14ac:dyDescent="0.2">
      <c r="A127" s="4"/>
      <c r="B127">
        <v>66.599999999999994</v>
      </c>
      <c r="C127">
        <v>110.3</v>
      </c>
      <c r="D127">
        <v>98.4</v>
      </c>
      <c r="E127">
        <v>-2.75</v>
      </c>
    </row>
    <row r="128" spans="1:5" x14ac:dyDescent="0.2">
      <c r="A128" s="4"/>
      <c r="B128">
        <v>64.7</v>
      </c>
      <c r="C128">
        <v>102.9</v>
      </c>
      <c r="D128">
        <v>78.099999999999994</v>
      </c>
      <c r="E128">
        <v>-5.45</v>
      </c>
    </row>
    <row r="129" spans="1:5" x14ac:dyDescent="0.2">
      <c r="A129" s="4">
        <v>41307</v>
      </c>
      <c r="B129">
        <v>24.9</v>
      </c>
      <c r="C129">
        <v>82.1</v>
      </c>
      <c r="D129">
        <v>72.400000000000006</v>
      </c>
      <c r="E129">
        <v>-4.83</v>
      </c>
    </row>
    <row r="130" spans="1:5" x14ac:dyDescent="0.2">
      <c r="A130" s="4"/>
      <c r="B130">
        <v>66.599999999999994</v>
      </c>
      <c r="C130">
        <v>110.3</v>
      </c>
      <c r="D130">
        <v>94.3</v>
      </c>
    </row>
    <row r="131" spans="1:5" x14ac:dyDescent="0.2">
      <c r="A131" s="4"/>
      <c r="B131">
        <v>24.7</v>
      </c>
      <c r="C131">
        <v>85.6</v>
      </c>
      <c r="D131">
        <v>78.2</v>
      </c>
    </row>
    <row r="132" spans="1:5" x14ac:dyDescent="0.2">
      <c r="A132" s="4"/>
      <c r="B132">
        <v>26.7</v>
      </c>
      <c r="C132">
        <v>87.3</v>
      </c>
      <c r="D132">
        <v>78.3</v>
      </c>
    </row>
    <row r="133" spans="1:5" x14ac:dyDescent="0.2">
      <c r="A133" s="4"/>
      <c r="B133">
        <v>15.5</v>
      </c>
      <c r="C133">
        <v>72</v>
      </c>
      <c r="D133">
        <v>51.3</v>
      </c>
    </row>
    <row r="134" spans="1:5" x14ac:dyDescent="0.2">
      <c r="A134" s="4"/>
      <c r="B134">
        <v>27.4</v>
      </c>
      <c r="C134">
        <v>81.3</v>
      </c>
      <c r="D134">
        <v>70.3</v>
      </c>
    </row>
    <row r="135" spans="1:5" x14ac:dyDescent="0.2">
      <c r="A135" s="4"/>
      <c r="B135">
        <v>42.9</v>
      </c>
      <c r="C135">
        <v>87.5</v>
      </c>
      <c r="D135">
        <v>82.9</v>
      </c>
    </row>
    <row r="136" spans="1:5" x14ac:dyDescent="0.2">
      <c r="A136" s="4"/>
      <c r="B136">
        <v>20</v>
      </c>
      <c r="C136">
        <v>84.6</v>
      </c>
      <c r="D136">
        <v>36.9</v>
      </c>
    </row>
    <row r="137" spans="1:5" x14ac:dyDescent="0.2">
      <c r="A137" s="4"/>
      <c r="B137">
        <v>69.599999999999994</v>
      </c>
      <c r="C137">
        <v>110.2</v>
      </c>
      <c r="D137">
        <v>93.7</v>
      </c>
    </row>
    <row r="138" spans="1:5" x14ac:dyDescent="0.2">
      <c r="A138" s="4"/>
      <c r="B138">
        <v>62.5</v>
      </c>
      <c r="C138">
        <v>106.6</v>
      </c>
      <c r="D138">
        <v>94.1</v>
      </c>
    </row>
    <row r="139" spans="1:5" x14ac:dyDescent="0.2">
      <c r="A139" s="4">
        <v>41308</v>
      </c>
      <c r="B139">
        <v>20</v>
      </c>
      <c r="C139">
        <v>84.7</v>
      </c>
      <c r="D139">
        <v>37</v>
      </c>
    </row>
    <row r="140" spans="1:5" x14ac:dyDescent="0.2">
      <c r="A140" s="4"/>
      <c r="B140">
        <v>64.400000000000006</v>
      </c>
      <c r="C140">
        <v>102.5</v>
      </c>
      <c r="D140">
        <v>90.3</v>
      </c>
    </row>
    <row r="141" spans="1:5" x14ac:dyDescent="0.2">
      <c r="A141" s="4"/>
      <c r="B141">
        <v>73.400000000000006</v>
      </c>
      <c r="C141">
        <v>134.69999999999999</v>
      </c>
      <c r="D141">
        <v>70.599999999999994</v>
      </c>
      <c r="E141">
        <v>-7.43</v>
      </c>
    </row>
    <row r="142" spans="1:5" x14ac:dyDescent="0.2">
      <c r="A142" s="4"/>
      <c r="B142">
        <v>69.7</v>
      </c>
      <c r="C142">
        <v>104.9</v>
      </c>
      <c r="D142">
        <v>90.8</v>
      </c>
    </row>
    <row r="143" spans="1:5" x14ac:dyDescent="0.2">
      <c r="A143" s="4"/>
      <c r="B143">
        <v>43.5</v>
      </c>
      <c r="C143">
        <v>100.6</v>
      </c>
      <c r="D143">
        <v>74.7</v>
      </c>
    </row>
    <row r="144" spans="1:5" x14ac:dyDescent="0.2">
      <c r="A144" s="4"/>
      <c r="B144">
        <v>74.900000000000006</v>
      </c>
      <c r="C144">
        <v>122.5</v>
      </c>
      <c r="D144">
        <v>96</v>
      </c>
    </row>
    <row r="145" spans="1:4" x14ac:dyDescent="0.2">
      <c r="A145" s="4">
        <v>41309</v>
      </c>
      <c r="B145">
        <v>15.6</v>
      </c>
      <c r="C145">
        <v>86.5</v>
      </c>
      <c r="D145">
        <v>70.5</v>
      </c>
    </row>
    <row r="146" spans="1:4" x14ac:dyDescent="0.2">
      <c r="A146" s="4"/>
      <c r="B146">
        <v>30.6</v>
      </c>
      <c r="C146">
        <v>93.5</v>
      </c>
      <c r="D146">
        <v>76.400000000000006</v>
      </c>
    </row>
    <row r="147" spans="1:4" x14ac:dyDescent="0.2">
      <c r="A147" s="4"/>
      <c r="B147">
        <v>69.099999999999994</v>
      </c>
      <c r="C147">
        <v>105.9</v>
      </c>
      <c r="D147">
        <v>94.1</v>
      </c>
    </row>
    <row r="148" spans="1:4" x14ac:dyDescent="0.2">
      <c r="A148" s="4"/>
      <c r="B148">
        <v>42.6</v>
      </c>
      <c r="C148">
        <v>89.2</v>
      </c>
      <c r="D148">
        <v>85.4</v>
      </c>
    </row>
    <row r="149" spans="1:4" x14ac:dyDescent="0.2">
      <c r="A149" s="4"/>
      <c r="B149">
        <v>46.6</v>
      </c>
      <c r="C149">
        <v>91.2</v>
      </c>
      <c r="D149">
        <v>69.2</v>
      </c>
    </row>
    <row r="150" spans="1:4" x14ac:dyDescent="0.2">
      <c r="A150" s="4"/>
      <c r="B150">
        <v>66</v>
      </c>
      <c r="C150">
        <v>104.8</v>
      </c>
      <c r="D150">
        <v>82.8</v>
      </c>
    </row>
    <row r="151" spans="1:4" x14ac:dyDescent="0.2">
      <c r="A151" s="4">
        <v>41310</v>
      </c>
      <c r="B151">
        <v>13.1</v>
      </c>
      <c r="C151">
        <v>72.599999999999994</v>
      </c>
      <c r="D151">
        <v>55.3</v>
      </c>
    </row>
    <row r="152" spans="1:4" x14ac:dyDescent="0.2">
      <c r="A152" s="4"/>
      <c r="B152">
        <v>25.2</v>
      </c>
      <c r="C152">
        <v>88.4</v>
      </c>
      <c r="D152">
        <v>85</v>
      </c>
    </row>
    <row r="153" spans="1:4" x14ac:dyDescent="0.2">
      <c r="A153" s="4"/>
      <c r="B153">
        <v>71.099999999999994</v>
      </c>
      <c r="C153">
        <v>101.3</v>
      </c>
      <c r="D153">
        <v>84.9</v>
      </c>
    </row>
    <row r="154" spans="1:4" x14ac:dyDescent="0.2">
      <c r="A154" s="4">
        <v>41311</v>
      </c>
      <c r="B154">
        <v>47</v>
      </c>
      <c r="C154">
        <v>96</v>
      </c>
      <c r="D154">
        <v>88.2</v>
      </c>
    </row>
    <row r="155" spans="1:4" x14ac:dyDescent="0.2">
      <c r="A155" s="4"/>
      <c r="B155">
        <v>44.1</v>
      </c>
      <c r="C155">
        <v>89</v>
      </c>
      <c r="D155">
        <v>77.5</v>
      </c>
    </row>
    <row r="156" spans="1:4" x14ac:dyDescent="0.2">
      <c r="A156" s="4"/>
      <c r="B156">
        <v>64</v>
      </c>
      <c r="C156">
        <v>95.9</v>
      </c>
      <c r="D156">
        <v>88.9</v>
      </c>
    </row>
    <row r="157" spans="1:4" x14ac:dyDescent="0.2">
      <c r="A157" s="4"/>
      <c r="B157">
        <v>67.7</v>
      </c>
      <c r="C157">
        <v>105.5</v>
      </c>
      <c r="D157">
        <v>87.5</v>
      </c>
    </row>
    <row r="158" spans="1:4" x14ac:dyDescent="0.2">
      <c r="A158" s="4"/>
      <c r="B158">
        <v>57.1</v>
      </c>
      <c r="C158">
        <v>94</v>
      </c>
      <c r="D158">
        <v>78.7</v>
      </c>
    </row>
    <row r="159" spans="1:4" x14ac:dyDescent="0.2">
      <c r="A159" s="4">
        <v>41312</v>
      </c>
      <c r="B159">
        <v>33.1</v>
      </c>
      <c r="C159">
        <v>84.3</v>
      </c>
      <c r="D159">
        <v>74.400000000000006</v>
      </c>
    </row>
    <row r="160" spans="1:4" x14ac:dyDescent="0.2">
      <c r="A160" s="4"/>
      <c r="B160">
        <v>64.400000000000006</v>
      </c>
      <c r="C160">
        <v>102.7</v>
      </c>
      <c r="D160">
        <v>80.400000000000006</v>
      </c>
    </row>
    <row r="161" spans="1:4" x14ac:dyDescent="0.2">
      <c r="A161" s="4"/>
      <c r="B161">
        <v>58.6</v>
      </c>
      <c r="C161">
        <v>104.6</v>
      </c>
      <c r="D161">
        <v>91.6</v>
      </c>
    </row>
    <row r="162" spans="1:4" x14ac:dyDescent="0.2">
      <c r="A162" s="4"/>
      <c r="B162">
        <v>90</v>
      </c>
      <c r="C162">
        <v>90.3</v>
      </c>
      <c r="D162">
        <v>67.2</v>
      </c>
    </row>
    <row r="163" spans="1:4" x14ac:dyDescent="0.2">
      <c r="A163" s="4">
        <v>41313</v>
      </c>
      <c r="B163">
        <v>56.6</v>
      </c>
      <c r="C163">
        <v>107.3</v>
      </c>
      <c r="D163">
        <v>79.7</v>
      </c>
    </row>
    <row r="164" spans="1:4" x14ac:dyDescent="0.2">
      <c r="A164" s="4"/>
      <c r="B164">
        <v>44</v>
      </c>
      <c r="C164">
        <v>88.8</v>
      </c>
      <c r="D164">
        <v>82.5</v>
      </c>
    </row>
    <row r="165" spans="1:4" x14ac:dyDescent="0.2">
      <c r="A165" s="4"/>
      <c r="B165">
        <v>26.8</v>
      </c>
      <c r="C165">
        <v>90.9</v>
      </c>
      <c r="D165">
        <v>66.400000000000006</v>
      </c>
    </row>
    <row r="166" spans="1:4" x14ac:dyDescent="0.2">
      <c r="A166" s="4">
        <v>41314</v>
      </c>
      <c r="B166">
        <v>64.900000000000006</v>
      </c>
      <c r="C166">
        <v>106.2</v>
      </c>
      <c r="D166">
        <v>94.7</v>
      </c>
    </row>
    <row r="167" spans="1:4" x14ac:dyDescent="0.2">
      <c r="A167" s="4"/>
      <c r="B167">
        <v>67.7</v>
      </c>
      <c r="C167">
        <v>108.6</v>
      </c>
      <c r="D167">
        <v>93.5</v>
      </c>
    </row>
    <row r="168" spans="1:4" x14ac:dyDescent="0.2">
      <c r="A168" s="4"/>
      <c r="B168">
        <v>71.400000000000006</v>
      </c>
      <c r="C168">
        <v>113.7</v>
      </c>
      <c r="D168">
        <v>89.7</v>
      </c>
    </row>
    <row r="169" spans="1:4" x14ac:dyDescent="0.2">
      <c r="A169" s="4"/>
      <c r="B169">
        <v>68.400000000000006</v>
      </c>
      <c r="C169">
        <v>105.4</v>
      </c>
      <c r="D169">
        <v>89.4</v>
      </c>
    </row>
    <row r="170" spans="1:4" x14ac:dyDescent="0.2">
      <c r="A170" s="4"/>
      <c r="B170">
        <v>39.299999999999997</v>
      </c>
      <c r="C170">
        <v>87.3</v>
      </c>
      <c r="D170">
        <v>77.400000000000006</v>
      </c>
    </row>
    <row r="171" spans="1:4" x14ac:dyDescent="0.2">
      <c r="A171" s="4"/>
      <c r="B171">
        <v>69.2</v>
      </c>
      <c r="C171">
        <v>110.2</v>
      </c>
      <c r="D171">
        <v>98.2</v>
      </c>
    </row>
    <row r="172" spans="1:4" x14ac:dyDescent="0.2">
      <c r="A172" s="4"/>
      <c r="B172">
        <v>67.099999999999994</v>
      </c>
      <c r="C172">
        <v>111.6</v>
      </c>
      <c r="D172">
        <v>74.3</v>
      </c>
    </row>
    <row r="173" spans="1:4" x14ac:dyDescent="0.2">
      <c r="A173" s="4">
        <v>41316</v>
      </c>
      <c r="B173">
        <v>49.9</v>
      </c>
      <c r="C173">
        <v>101.6</v>
      </c>
      <c r="D173">
        <v>85</v>
      </c>
    </row>
    <row r="174" spans="1:4" x14ac:dyDescent="0.2">
      <c r="A174" s="4"/>
      <c r="B174">
        <v>31</v>
      </c>
      <c r="C174">
        <v>91.1</v>
      </c>
      <c r="D174">
        <v>58.1</v>
      </c>
    </row>
    <row r="175" spans="1:4" x14ac:dyDescent="0.2">
      <c r="A175" s="4">
        <v>41318</v>
      </c>
      <c r="B175">
        <v>21.4</v>
      </c>
      <c r="C175">
        <v>94.8</v>
      </c>
      <c r="D175">
        <v>86.7</v>
      </c>
    </row>
    <row r="176" spans="1:4" x14ac:dyDescent="0.2">
      <c r="A176" s="4"/>
      <c r="B176">
        <v>21.7</v>
      </c>
      <c r="C176">
        <v>85.2</v>
      </c>
      <c r="D176">
        <v>81.2</v>
      </c>
    </row>
    <row r="177" spans="1:4" x14ac:dyDescent="0.2">
      <c r="A177" s="4"/>
      <c r="B177">
        <v>54.2</v>
      </c>
      <c r="C177">
        <v>106.1</v>
      </c>
      <c r="D177">
        <v>88.8</v>
      </c>
    </row>
    <row r="178" spans="1:4" x14ac:dyDescent="0.2">
      <c r="A178" s="4">
        <v>41319</v>
      </c>
      <c r="B178">
        <v>19.3</v>
      </c>
      <c r="C178">
        <v>74.3</v>
      </c>
      <c r="D178">
        <v>45.2</v>
      </c>
    </row>
    <row r="179" spans="1:4" x14ac:dyDescent="0.2">
      <c r="A179" s="4"/>
      <c r="B179">
        <v>19.2</v>
      </c>
      <c r="C179">
        <v>70</v>
      </c>
      <c r="D179">
        <v>28.8</v>
      </c>
    </row>
    <row r="180" spans="1:4" x14ac:dyDescent="0.2">
      <c r="A180" s="4"/>
      <c r="B180">
        <v>44.1</v>
      </c>
      <c r="C180">
        <v>104.9</v>
      </c>
      <c r="D180">
        <v>88.5</v>
      </c>
    </row>
    <row r="181" spans="1:4" x14ac:dyDescent="0.2">
      <c r="A181" s="4"/>
      <c r="B181">
        <v>66.8</v>
      </c>
      <c r="C181">
        <v>98.2</v>
      </c>
      <c r="D181">
        <v>88.1</v>
      </c>
    </row>
    <row r="182" spans="1:4" x14ac:dyDescent="0.2">
      <c r="A182" s="4"/>
      <c r="B182">
        <v>45.4</v>
      </c>
      <c r="C182">
        <v>87.9</v>
      </c>
      <c r="D182">
        <v>81.2</v>
      </c>
    </row>
    <row r="183" spans="1:4" x14ac:dyDescent="0.2">
      <c r="A183" s="4"/>
      <c r="B183">
        <v>19.399999999999999</v>
      </c>
      <c r="C183">
        <v>90.4</v>
      </c>
      <c r="D183">
        <v>74.900000000000006</v>
      </c>
    </row>
    <row r="184" spans="1:4" x14ac:dyDescent="0.2">
      <c r="A184" s="4">
        <v>41320</v>
      </c>
      <c r="B184">
        <v>17</v>
      </c>
      <c r="C184">
        <v>89</v>
      </c>
      <c r="D184">
        <v>79</v>
      </c>
    </row>
    <row r="185" spans="1:4" x14ac:dyDescent="0.2">
      <c r="A185" s="4"/>
      <c r="B185">
        <v>37.1</v>
      </c>
      <c r="C185">
        <v>91.8</v>
      </c>
      <c r="D185">
        <v>86.2</v>
      </c>
    </row>
    <row r="186" spans="1:4" x14ac:dyDescent="0.2">
      <c r="A186" s="4"/>
      <c r="B186">
        <v>29.4</v>
      </c>
      <c r="C186">
        <v>87.5</v>
      </c>
      <c r="D186">
        <v>73.900000000000006</v>
      </c>
    </row>
    <row r="187" spans="1:4" x14ac:dyDescent="0.2">
      <c r="A187" s="4"/>
      <c r="B187">
        <v>25</v>
      </c>
      <c r="C187">
        <v>83.5</v>
      </c>
      <c r="D187">
        <v>70.099999999999994</v>
      </c>
    </row>
    <row r="188" spans="1:4" x14ac:dyDescent="0.2">
      <c r="A188" s="4"/>
      <c r="B188">
        <v>34.799999999999997</v>
      </c>
      <c r="C188">
        <v>99.9</v>
      </c>
      <c r="D188">
        <v>91.3</v>
      </c>
    </row>
    <row r="189" spans="1:4" x14ac:dyDescent="0.2">
      <c r="A189" s="4"/>
      <c r="B189">
        <v>17.7</v>
      </c>
      <c r="C189">
        <v>72</v>
      </c>
      <c r="D189">
        <v>44.5</v>
      </c>
    </row>
    <row r="190" spans="1:4" x14ac:dyDescent="0.2">
      <c r="A190" s="4"/>
      <c r="B190">
        <v>24.6</v>
      </c>
      <c r="C190">
        <v>83.3</v>
      </c>
      <c r="D190">
        <v>70.099999999999994</v>
      </c>
    </row>
    <row r="191" spans="1:4" x14ac:dyDescent="0.2">
      <c r="A191" s="4">
        <v>41321</v>
      </c>
      <c r="B191">
        <v>28.6</v>
      </c>
      <c r="C191">
        <v>93.1</v>
      </c>
      <c r="D191">
        <v>74.599999999999994</v>
      </c>
    </row>
    <row r="192" spans="1:4" x14ac:dyDescent="0.2">
      <c r="A192" s="4"/>
      <c r="B192">
        <v>38</v>
      </c>
      <c r="C192">
        <v>87.4</v>
      </c>
      <c r="D192">
        <v>80.2</v>
      </c>
    </row>
    <row r="193" spans="1:4" x14ac:dyDescent="0.2">
      <c r="A193" s="4">
        <v>41322</v>
      </c>
      <c r="B193">
        <v>35.5</v>
      </c>
      <c r="C193">
        <v>90.9</v>
      </c>
      <c r="D193">
        <v>67.900000000000006</v>
      </c>
    </row>
    <row r="194" spans="1:4" x14ac:dyDescent="0.2">
      <c r="B194">
        <v>30.3</v>
      </c>
      <c r="C194">
        <v>88</v>
      </c>
      <c r="D194">
        <v>67.599999999999994</v>
      </c>
    </row>
    <row r="195" spans="1:4" x14ac:dyDescent="0.2">
      <c r="B195">
        <v>72.5</v>
      </c>
      <c r="C195">
        <v>111.5</v>
      </c>
      <c r="D195">
        <v>99</v>
      </c>
    </row>
    <row r="196" spans="1:4" x14ac:dyDescent="0.2">
      <c r="B196">
        <v>40.799999999999997</v>
      </c>
      <c r="C196">
        <v>93.2</v>
      </c>
      <c r="D196">
        <v>67.2</v>
      </c>
    </row>
    <row r="197" spans="1:4" x14ac:dyDescent="0.2">
      <c r="B197">
        <v>69.900000000000006</v>
      </c>
      <c r="C197">
        <v>106.5</v>
      </c>
      <c r="D197">
        <v>96.7</v>
      </c>
    </row>
    <row r="198" spans="1:4" x14ac:dyDescent="0.2">
      <c r="B198">
        <v>44.9</v>
      </c>
      <c r="C198">
        <v>92.8</v>
      </c>
      <c r="D198">
        <v>88</v>
      </c>
    </row>
    <row r="199" spans="1:4" x14ac:dyDescent="0.2">
      <c r="B199">
        <v>52.3</v>
      </c>
      <c r="C199">
        <v>100.1</v>
      </c>
      <c r="D199">
        <v>80.8</v>
      </c>
    </row>
    <row r="200" spans="1:4" x14ac:dyDescent="0.2">
      <c r="B200">
        <v>69.2</v>
      </c>
      <c r="C200">
        <v>95.9</v>
      </c>
      <c r="D200">
        <v>71.7</v>
      </c>
    </row>
    <row r="201" spans="1:4" x14ac:dyDescent="0.2">
      <c r="A201" s="4">
        <v>41323</v>
      </c>
      <c r="B201">
        <v>74.7</v>
      </c>
      <c r="C201">
        <v>115.3</v>
      </c>
      <c r="D201">
        <v>94.9</v>
      </c>
    </row>
    <row r="202" spans="1:4" x14ac:dyDescent="0.2">
      <c r="B202">
        <v>66.900000000000006</v>
      </c>
      <c r="C202">
        <v>101.1</v>
      </c>
      <c r="D202">
        <v>91.5</v>
      </c>
    </row>
    <row r="203" spans="1:4" x14ac:dyDescent="0.2">
      <c r="B203">
        <v>40.799999999999997</v>
      </c>
      <c r="C203">
        <v>97.5</v>
      </c>
      <c r="D203">
        <v>90.5</v>
      </c>
    </row>
    <row r="204" spans="1:4" x14ac:dyDescent="0.2">
      <c r="B204">
        <v>60.3</v>
      </c>
      <c r="C204">
        <v>105</v>
      </c>
      <c r="D204">
        <v>88.2</v>
      </c>
    </row>
    <row r="205" spans="1:4" x14ac:dyDescent="0.2">
      <c r="B205">
        <v>64.7</v>
      </c>
      <c r="C205">
        <v>107</v>
      </c>
      <c r="D205">
        <v>93.6</v>
      </c>
    </row>
    <row r="206" spans="1:4" x14ac:dyDescent="0.2">
      <c r="A206" s="4">
        <v>41324</v>
      </c>
      <c r="B206">
        <v>33.6</v>
      </c>
      <c r="C206">
        <v>95.6</v>
      </c>
      <c r="D206">
        <v>82.5</v>
      </c>
    </row>
    <row r="207" spans="1:4" x14ac:dyDescent="0.2">
      <c r="B207">
        <v>64.2</v>
      </c>
      <c r="C207">
        <v>111.2</v>
      </c>
      <c r="D207">
        <v>86</v>
      </c>
    </row>
    <row r="208" spans="1:4" x14ac:dyDescent="0.2">
      <c r="A208" s="4">
        <v>41325</v>
      </c>
      <c r="B208">
        <v>22.2</v>
      </c>
      <c r="C208">
        <v>92.3</v>
      </c>
      <c r="D208">
        <v>49.9</v>
      </c>
    </row>
    <row r="209" spans="1:4" x14ac:dyDescent="0.2">
      <c r="B209">
        <v>39.799999999999997</v>
      </c>
      <c r="C209">
        <v>90.2</v>
      </c>
      <c r="D209">
        <v>82.2</v>
      </c>
    </row>
    <row r="210" spans="1:4" x14ac:dyDescent="0.2">
      <c r="B210">
        <v>59.2</v>
      </c>
      <c r="C210">
        <v>101.5</v>
      </c>
      <c r="D210">
        <v>87.9</v>
      </c>
    </row>
    <row r="211" spans="1:4" x14ac:dyDescent="0.2">
      <c r="B211">
        <v>68.599999999999994</v>
      </c>
      <c r="C211">
        <v>103.7</v>
      </c>
      <c r="D211">
        <v>96.6</v>
      </c>
    </row>
    <row r="212" spans="1:4" x14ac:dyDescent="0.2">
      <c r="B212">
        <v>29.3</v>
      </c>
      <c r="C212">
        <v>91.7</v>
      </c>
      <c r="D212">
        <v>80.900000000000006</v>
      </c>
    </row>
    <row r="213" spans="1:4" x14ac:dyDescent="0.2">
      <c r="B213">
        <v>58.3</v>
      </c>
      <c r="C213">
        <v>104.8</v>
      </c>
      <c r="D213">
        <v>96</v>
      </c>
    </row>
    <row r="214" spans="1:4" x14ac:dyDescent="0.2">
      <c r="A214" s="4">
        <v>41326</v>
      </c>
      <c r="B214">
        <v>25.3</v>
      </c>
      <c r="C214">
        <v>80.099999999999994</v>
      </c>
      <c r="D214">
        <v>68.8</v>
      </c>
    </row>
    <row r="215" spans="1:4" x14ac:dyDescent="0.2">
      <c r="B215">
        <v>62.5</v>
      </c>
      <c r="C215">
        <v>106.3</v>
      </c>
      <c r="D215">
        <v>94.1</v>
      </c>
    </row>
    <row r="216" spans="1:4" x14ac:dyDescent="0.2">
      <c r="B216">
        <v>64.099999999999994</v>
      </c>
      <c r="C216">
        <v>108.8</v>
      </c>
      <c r="D216">
        <v>89.4</v>
      </c>
    </row>
    <row r="217" spans="1:4" x14ac:dyDescent="0.2">
      <c r="B217">
        <v>27.1</v>
      </c>
      <c r="C217">
        <v>90.8</v>
      </c>
      <c r="D217">
        <v>80.099999999999994</v>
      </c>
    </row>
    <row r="218" spans="1:4" x14ac:dyDescent="0.2">
      <c r="B218">
        <v>67.2</v>
      </c>
      <c r="C218">
        <v>104.2</v>
      </c>
      <c r="D218">
        <v>90.1</v>
      </c>
    </row>
    <row r="219" spans="1:4" x14ac:dyDescent="0.2">
      <c r="A219" s="4">
        <v>41327</v>
      </c>
      <c r="B219">
        <v>19.7</v>
      </c>
      <c r="C219">
        <v>90.2</v>
      </c>
      <c r="D219">
        <v>74.8</v>
      </c>
    </row>
    <row r="220" spans="1:4" x14ac:dyDescent="0.2">
      <c r="B220">
        <v>63.8</v>
      </c>
      <c r="C220">
        <v>105.9</v>
      </c>
      <c r="D220">
        <v>95.7</v>
      </c>
    </row>
    <row r="221" spans="1:4" x14ac:dyDescent="0.2">
      <c r="A221" s="4">
        <v>41329</v>
      </c>
      <c r="B221">
        <v>38.5</v>
      </c>
      <c r="C221">
        <v>87.7</v>
      </c>
      <c r="D221">
        <v>73.8</v>
      </c>
    </row>
    <row r="222" spans="1:4" x14ac:dyDescent="0.2">
      <c r="B222">
        <v>58.6</v>
      </c>
      <c r="C222">
        <v>100.8</v>
      </c>
      <c r="D222">
        <v>80.5</v>
      </c>
    </row>
    <row r="223" spans="1:4" x14ac:dyDescent="0.2">
      <c r="B223">
        <v>33.1</v>
      </c>
      <c r="C223">
        <v>95</v>
      </c>
      <c r="D223">
        <v>85.3</v>
      </c>
    </row>
    <row r="224" spans="1:4" x14ac:dyDescent="0.2">
      <c r="A224" s="4">
        <v>41330</v>
      </c>
      <c r="B224">
        <v>19.5</v>
      </c>
      <c r="C224">
        <v>81.7</v>
      </c>
      <c r="D224">
        <v>49.3</v>
      </c>
    </row>
    <row r="225" spans="1:4" x14ac:dyDescent="0.2">
      <c r="A225" s="4">
        <v>41331</v>
      </c>
      <c r="B225">
        <v>19.100000000000001</v>
      </c>
      <c r="C225">
        <v>81.400000000000006</v>
      </c>
      <c r="D225">
        <v>48.1</v>
      </c>
    </row>
    <row r="226" spans="1:4" x14ac:dyDescent="0.2">
      <c r="B226">
        <v>62.1</v>
      </c>
      <c r="C226">
        <v>109.2</v>
      </c>
      <c r="D226">
        <v>91.5</v>
      </c>
    </row>
    <row r="227" spans="1:4" x14ac:dyDescent="0.2">
      <c r="A227" s="4">
        <v>41332</v>
      </c>
      <c r="B227">
        <v>55.7</v>
      </c>
      <c r="C227">
        <v>96.8</v>
      </c>
      <c r="D227">
        <v>81.3</v>
      </c>
    </row>
    <row r="228" spans="1:4" x14ac:dyDescent="0.2">
      <c r="B228">
        <v>54.5</v>
      </c>
      <c r="C228">
        <v>104</v>
      </c>
      <c r="D228">
        <v>89.4</v>
      </c>
    </row>
    <row r="229" spans="1:4" x14ac:dyDescent="0.2">
      <c r="A229" s="4">
        <v>41333</v>
      </c>
      <c r="B229">
        <v>58.8</v>
      </c>
      <c r="C229">
        <v>107.3</v>
      </c>
      <c r="D229">
        <v>90.8</v>
      </c>
    </row>
    <row r="230" spans="1:4" x14ac:dyDescent="0.2">
      <c r="A230" s="4">
        <v>41336</v>
      </c>
      <c r="B230">
        <v>59.1</v>
      </c>
      <c r="C230">
        <v>99.6</v>
      </c>
      <c r="D230">
        <v>84.4</v>
      </c>
    </row>
    <row r="231" spans="1:4" x14ac:dyDescent="0.2">
      <c r="A231" s="4">
        <v>41337</v>
      </c>
      <c r="B231">
        <v>21.1</v>
      </c>
      <c r="C231">
        <v>86.9</v>
      </c>
      <c r="D231">
        <v>80.900000000000006</v>
      </c>
    </row>
    <row r="232" spans="1:4" x14ac:dyDescent="0.2">
      <c r="B232">
        <v>27</v>
      </c>
      <c r="C232">
        <v>81.7</v>
      </c>
      <c r="D232">
        <v>73</v>
      </c>
    </row>
    <row r="233" spans="1:4" x14ac:dyDescent="0.2">
      <c r="B233">
        <v>53.4</v>
      </c>
      <c r="C233">
        <v>106.3</v>
      </c>
      <c r="D233">
        <v>86.4</v>
      </c>
    </row>
    <row r="234" spans="1:4" x14ac:dyDescent="0.2">
      <c r="A234" s="4">
        <v>41338</v>
      </c>
      <c r="B234">
        <v>18.2</v>
      </c>
      <c r="C234">
        <v>87.6</v>
      </c>
      <c r="D234">
        <v>71.2</v>
      </c>
    </row>
    <row r="235" spans="1:4" x14ac:dyDescent="0.2">
      <c r="B235">
        <v>46.2</v>
      </c>
      <c r="C235">
        <v>103.4</v>
      </c>
      <c r="D235">
        <v>89.8</v>
      </c>
    </row>
    <row r="236" spans="1:4" x14ac:dyDescent="0.2">
      <c r="A236" s="4">
        <v>41340</v>
      </c>
      <c r="B236">
        <v>50</v>
      </c>
      <c r="C236">
        <v>103.4</v>
      </c>
      <c r="D236">
        <v>84</v>
      </c>
    </row>
    <row r="237" spans="1:4" x14ac:dyDescent="0.2">
      <c r="A237" s="4">
        <v>41341</v>
      </c>
      <c r="B237">
        <v>30.1</v>
      </c>
      <c r="C237">
        <v>93.5</v>
      </c>
      <c r="D237">
        <v>76.599999999999994</v>
      </c>
    </row>
    <row r="238" spans="1:4" x14ac:dyDescent="0.2">
      <c r="B238">
        <v>60.9</v>
      </c>
      <c r="C238">
        <v>105</v>
      </c>
      <c r="D238">
        <v>91.8</v>
      </c>
    </row>
    <row r="239" spans="1:4" x14ac:dyDescent="0.2">
      <c r="A239" s="4">
        <v>41342</v>
      </c>
      <c r="B239">
        <v>45.8</v>
      </c>
      <c r="C239">
        <v>88.6</v>
      </c>
      <c r="D239">
        <v>65.599999999999994</v>
      </c>
    </row>
    <row r="240" spans="1:4" x14ac:dyDescent="0.2">
      <c r="A240" s="4">
        <v>41344</v>
      </c>
      <c r="B240">
        <v>17.5</v>
      </c>
      <c r="C240">
        <v>86.8</v>
      </c>
      <c r="D240">
        <v>78.400000000000006</v>
      </c>
    </row>
    <row r="241" spans="1:4" x14ac:dyDescent="0.2">
      <c r="B241">
        <v>22.1</v>
      </c>
      <c r="C241">
        <v>93</v>
      </c>
      <c r="D241">
        <v>55.2</v>
      </c>
    </row>
    <row r="242" spans="1:4" x14ac:dyDescent="0.2">
      <c r="B242">
        <v>67.3</v>
      </c>
      <c r="C242">
        <v>109.1</v>
      </c>
      <c r="D242">
        <v>94.7</v>
      </c>
    </row>
    <row r="243" spans="1:4" x14ac:dyDescent="0.2">
      <c r="A243" s="4">
        <v>41345</v>
      </c>
      <c r="B243">
        <v>27.5</v>
      </c>
      <c r="C243">
        <v>90</v>
      </c>
      <c r="D243">
        <v>61.6</v>
      </c>
    </row>
    <row r="244" spans="1:4" x14ac:dyDescent="0.2">
      <c r="B244">
        <v>47.7</v>
      </c>
      <c r="C244">
        <v>94.8</v>
      </c>
      <c r="D244">
        <v>64.7</v>
      </c>
    </row>
    <row r="245" spans="1:4" x14ac:dyDescent="0.2">
      <c r="B245">
        <v>68.5</v>
      </c>
      <c r="C245">
        <v>110.2</v>
      </c>
      <c r="D245">
        <v>103.3</v>
      </c>
    </row>
    <row r="246" spans="1:4" x14ac:dyDescent="0.2">
      <c r="A246" s="4">
        <v>41346</v>
      </c>
      <c r="B246">
        <v>31</v>
      </c>
      <c r="C246">
        <v>90.3</v>
      </c>
      <c r="D246">
        <v>68.5</v>
      </c>
    </row>
    <row r="247" spans="1:4" x14ac:dyDescent="0.2">
      <c r="B247">
        <v>32.9</v>
      </c>
      <c r="C247">
        <v>83.2</v>
      </c>
      <c r="D247">
        <v>65.400000000000006</v>
      </c>
    </row>
    <row r="248" spans="1:4" x14ac:dyDescent="0.2">
      <c r="B248">
        <v>14.8</v>
      </c>
      <c r="C248">
        <v>77.099999999999994</v>
      </c>
      <c r="D248">
        <v>31</v>
      </c>
    </row>
    <row r="249" spans="1:4" x14ac:dyDescent="0.2">
      <c r="B249">
        <v>30</v>
      </c>
      <c r="C249">
        <v>87</v>
      </c>
      <c r="D249">
        <v>52.6</v>
      </c>
    </row>
    <row r="250" spans="1:4" x14ac:dyDescent="0.2">
      <c r="B250">
        <v>22.2</v>
      </c>
      <c r="C250">
        <v>78.7</v>
      </c>
      <c r="D250">
        <v>57.9</v>
      </c>
    </row>
    <row r="251" spans="1:4" x14ac:dyDescent="0.2">
      <c r="B251">
        <v>29.2</v>
      </c>
      <c r="C251">
        <v>85.2</v>
      </c>
      <c r="D251">
        <v>49.4</v>
      </c>
    </row>
    <row r="252" spans="1:4" x14ac:dyDescent="0.2">
      <c r="B252">
        <v>57.9</v>
      </c>
      <c r="C252">
        <v>106.7</v>
      </c>
      <c r="D252">
        <v>93.5</v>
      </c>
    </row>
    <row r="253" spans="1:4" x14ac:dyDescent="0.2">
      <c r="B253">
        <v>68.8</v>
      </c>
      <c r="C253">
        <v>106.3</v>
      </c>
      <c r="D253">
        <v>93.9</v>
      </c>
    </row>
    <row r="254" spans="1:4" x14ac:dyDescent="0.2">
      <c r="B254">
        <v>68.599999999999994</v>
      </c>
      <c r="C254">
        <v>100.4</v>
      </c>
      <c r="D254">
        <v>77.5</v>
      </c>
    </row>
    <row r="255" spans="1:4" x14ac:dyDescent="0.2">
      <c r="A255" s="4">
        <v>41347</v>
      </c>
      <c r="B255">
        <v>27.9</v>
      </c>
      <c r="C255">
        <v>84.2</v>
      </c>
      <c r="D255">
        <v>73.2</v>
      </c>
    </row>
    <row r="256" spans="1:4" x14ac:dyDescent="0.2">
      <c r="B256">
        <v>38.700000000000003</v>
      </c>
      <c r="C256">
        <v>95.2</v>
      </c>
      <c r="D256">
        <v>86.8</v>
      </c>
    </row>
    <row r="257" spans="1:5" x14ac:dyDescent="0.2">
      <c r="B257">
        <v>29.2</v>
      </c>
      <c r="C257">
        <v>89.2</v>
      </c>
      <c r="D257">
        <v>67.5</v>
      </c>
    </row>
    <row r="258" spans="1:5" x14ac:dyDescent="0.2">
      <c r="B258">
        <v>30.8</v>
      </c>
      <c r="C258">
        <v>89</v>
      </c>
      <c r="D258">
        <v>68.5</v>
      </c>
    </row>
    <row r="259" spans="1:5" x14ac:dyDescent="0.2">
      <c r="B259">
        <v>29.6</v>
      </c>
      <c r="C259">
        <v>85.8</v>
      </c>
      <c r="D259">
        <v>61.3</v>
      </c>
    </row>
    <row r="260" spans="1:5" x14ac:dyDescent="0.2">
      <c r="A260" s="4">
        <v>41348</v>
      </c>
      <c r="B260">
        <v>31.5</v>
      </c>
      <c r="C260">
        <v>89.2</v>
      </c>
      <c r="D260">
        <v>64.5</v>
      </c>
    </row>
    <row r="261" spans="1:5" x14ac:dyDescent="0.2">
      <c r="B261">
        <v>58.4</v>
      </c>
      <c r="C261">
        <v>90.4</v>
      </c>
      <c r="D261">
        <v>76.2</v>
      </c>
    </row>
    <row r="262" spans="1:5" x14ac:dyDescent="0.2">
      <c r="B262">
        <v>68.900000000000006</v>
      </c>
      <c r="C262">
        <v>107.2</v>
      </c>
      <c r="D262">
        <v>93.9</v>
      </c>
    </row>
    <row r="263" spans="1:5" x14ac:dyDescent="0.2">
      <c r="A263" s="4">
        <v>41349</v>
      </c>
      <c r="B263">
        <v>64.2</v>
      </c>
      <c r="C263">
        <v>103.8</v>
      </c>
      <c r="D263">
        <v>87.5</v>
      </c>
    </row>
    <row r="264" spans="1:5" x14ac:dyDescent="0.2">
      <c r="B264">
        <v>38.9</v>
      </c>
      <c r="C264">
        <v>91.3</v>
      </c>
      <c r="D264">
        <v>81.900000000000006</v>
      </c>
    </row>
    <row r="265" spans="1:5" x14ac:dyDescent="0.2">
      <c r="A265" s="4">
        <v>41350</v>
      </c>
      <c r="B265">
        <v>29.7</v>
      </c>
      <c r="C265">
        <v>80.8</v>
      </c>
      <c r="D265">
        <v>34.700000000000003</v>
      </c>
    </row>
    <row r="266" spans="1:5" x14ac:dyDescent="0.2">
      <c r="B266">
        <v>18.899999999999999</v>
      </c>
      <c r="C266">
        <v>79.099999999999994</v>
      </c>
      <c r="D266">
        <v>63.9</v>
      </c>
    </row>
    <row r="267" spans="1:5" x14ac:dyDescent="0.2">
      <c r="B267">
        <v>36.5</v>
      </c>
      <c r="C267">
        <v>95.3</v>
      </c>
      <c r="D267">
        <v>89.5</v>
      </c>
    </row>
    <row r="268" spans="1:5" x14ac:dyDescent="0.2">
      <c r="B268">
        <v>37.6</v>
      </c>
      <c r="C268">
        <v>91.2</v>
      </c>
      <c r="D268">
        <v>87.5</v>
      </c>
      <c r="E268" s="5"/>
    </row>
    <row r="269" spans="1:5" x14ac:dyDescent="0.2">
      <c r="B269">
        <v>27.8</v>
      </c>
      <c r="C269">
        <v>88.8</v>
      </c>
      <c r="D269">
        <v>52.7</v>
      </c>
      <c r="E269" s="5"/>
    </row>
    <row r="270" spans="1:5" x14ac:dyDescent="0.2">
      <c r="B270">
        <v>52.5</v>
      </c>
      <c r="C270">
        <v>100.6</v>
      </c>
      <c r="D270">
        <v>96.9</v>
      </c>
    </row>
    <row r="271" spans="1:5" x14ac:dyDescent="0.2">
      <c r="B271">
        <v>40.4</v>
      </c>
      <c r="C271">
        <v>97.2</v>
      </c>
      <c r="D271">
        <v>81.099999999999994</v>
      </c>
    </row>
    <row r="272" spans="1:5" x14ac:dyDescent="0.2">
      <c r="B272">
        <v>28</v>
      </c>
      <c r="C272">
        <v>87.8</v>
      </c>
      <c r="D272">
        <v>72.099999999999994</v>
      </c>
    </row>
    <row r="273" spans="1:5" x14ac:dyDescent="0.2">
      <c r="B273">
        <v>73</v>
      </c>
      <c r="C273">
        <v>111.3</v>
      </c>
      <c r="D273">
        <v>101.8</v>
      </c>
    </row>
    <row r="274" spans="1:5" x14ac:dyDescent="0.2">
      <c r="B274">
        <v>69.099999999999994</v>
      </c>
      <c r="C274">
        <v>112</v>
      </c>
      <c r="D274">
        <v>89.4</v>
      </c>
    </row>
    <row r="275" spans="1:5" x14ac:dyDescent="0.2">
      <c r="B275">
        <v>26.3</v>
      </c>
      <c r="C275">
        <v>88.8</v>
      </c>
      <c r="D275">
        <v>56.3</v>
      </c>
    </row>
    <row r="276" spans="1:5" x14ac:dyDescent="0.2">
      <c r="B276">
        <v>31.1</v>
      </c>
      <c r="C276">
        <v>88.3</v>
      </c>
      <c r="D276">
        <v>40.799999999999997</v>
      </c>
    </row>
    <row r="277" spans="1:5" x14ac:dyDescent="0.2">
      <c r="B277">
        <v>72.8</v>
      </c>
      <c r="C277">
        <v>99.2</v>
      </c>
      <c r="D277">
        <v>94.9</v>
      </c>
      <c r="E277" s="5"/>
    </row>
    <row r="278" spans="1:5" x14ac:dyDescent="0.2">
      <c r="B278">
        <v>25.4</v>
      </c>
      <c r="C278">
        <v>83.2</v>
      </c>
      <c r="D278">
        <v>70.3</v>
      </c>
    </row>
    <row r="279" spans="1:5" x14ac:dyDescent="0.2">
      <c r="A279" s="4">
        <v>41351</v>
      </c>
      <c r="B279">
        <v>35.5</v>
      </c>
      <c r="C279">
        <v>92.9</v>
      </c>
      <c r="D279">
        <v>47.5</v>
      </c>
    </row>
    <row r="280" spans="1:5" x14ac:dyDescent="0.2">
      <c r="B280">
        <v>68.400000000000006</v>
      </c>
      <c r="C280">
        <v>107.1</v>
      </c>
      <c r="D280">
        <v>82.8</v>
      </c>
      <c r="E280" s="5"/>
    </row>
    <row r="281" spans="1:5" x14ac:dyDescent="0.2">
      <c r="A281" s="4">
        <v>41352</v>
      </c>
      <c r="B281">
        <v>27.5</v>
      </c>
      <c r="C281">
        <v>88</v>
      </c>
      <c r="D281">
        <v>72.099999999999994</v>
      </c>
    </row>
    <row r="282" spans="1:5" x14ac:dyDescent="0.2">
      <c r="B282">
        <v>43.3</v>
      </c>
      <c r="C282">
        <v>96.6</v>
      </c>
      <c r="D282">
        <v>87.8</v>
      </c>
      <c r="E282" s="5"/>
    </row>
    <row r="283" spans="1:5" x14ac:dyDescent="0.2">
      <c r="B283">
        <v>26.8</v>
      </c>
      <c r="C283">
        <v>91</v>
      </c>
      <c r="D283">
        <v>55.5</v>
      </c>
    </row>
    <row r="284" spans="1:5" x14ac:dyDescent="0.2">
      <c r="B284">
        <v>31.5</v>
      </c>
      <c r="C284">
        <v>92</v>
      </c>
      <c r="D284">
        <v>76.099999999999994</v>
      </c>
      <c r="E284" s="5"/>
    </row>
    <row r="285" spans="1:5" x14ac:dyDescent="0.2">
      <c r="B285">
        <v>41.4</v>
      </c>
      <c r="C285">
        <v>97.1</v>
      </c>
      <c r="D285">
        <v>75.599999999999994</v>
      </c>
    </row>
    <row r="286" spans="1:5" x14ac:dyDescent="0.2">
      <c r="B286">
        <v>60.9</v>
      </c>
      <c r="C286">
        <v>103.8</v>
      </c>
      <c r="D286">
        <v>91.6</v>
      </c>
      <c r="E286" s="5"/>
    </row>
    <row r="287" spans="1:5" x14ac:dyDescent="0.2">
      <c r="B287">
        <v>43.1</v>
      </c>
      <c r="C287">
        <v>93.5</v>
      </c>
      <c r="D287">
        <v>85.4</v>
      </c>
    </row>
    <row r="288" spans="1:5" x14ac:dyDescent="0.2">
      <c r="B288">
        <v>56.4</v>
      </c>
      <c r="C288">
        <v>103.3</v>
      </c>
      <c r="D288">
        <v>81.099999999999994</v>
      </c>
    </row>
    <row r="289" spans="1:4" x14ac:dyDescent="0.2">
      <c r="B289">
        <v>55.2</v>
      </c>
      <c r="C289">
        <v>104.1</v>
      </c>
      <c r="D289">
        <v>86.4</v>
      </c>
    </row>
    <row r="290" spans="1:4" x14ac:dyDescent="0.2">
      <c r="A290" s="4">
        <v>41353</v>
      </c>
      <c r="B290">
        <v>32.700000000000003</v>
      </c>
      <c r="C290">
        <v>94.1</v>
      </c>
      <c r="D290">
        <v>83.4</v>
      </c>
    </row>
    <row r="291" spans="1:4" x14ac:dyDescent="0.2">
      <c r="B291">
        <v>76.2</v>
      </c>
      <c r="C291">
        <v>103.4</v>
      </c>
      <c r="D291">
        <v>96</v>
      </c>
    </row>
    <row r="292" spans="1:4" x14ac:dyDescent="0.2">
      <c r="B292">
        <v>31.8</v>
      </c>
      <c r="C292">
        <v>82.8</v>
      </c>
      <c r="D292">
        <v>69.8</v>
      </c>
    </row>
    <row r="293" spans="1:4" x14ac:dyDescent="0.2">
      <c r="A293" s="4">
        <v>41354</v>
      </c>
      <c r="B293">
        <v>42.5</v>
      </c>
      <c r="C293">
        <v>95.2</v>
      </c>
      <c r="D293">
        <v>69</v>
      </c>
    </row>
    <row r="294" spans="1:4" x14ac:dyDescent="0.2">
      <c r="B294">
        <v>70.099999999999994</v>
      </c>
      <c r="C294">
        <v>113</v>
      </c>
      <c r="D294">
        <v>100.5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abSelected="1" workbookViewId="0">
      <selection activeCell="I3" sqref="I3"/>
    </sheetView>
  </sheetViews>
  <sheetFormatPr defaultRowHeight="12.75" x14ac:dyDescent="0.2"/>
  <cols>
    <col min="1" max="1" width="12.28515625" bestFit="1" customWidth="1"/>
  </cols>
  <sheetData>
    <row r="1" spans="1:22" x14ac:dyDescent="0.2">
      <c r="A1">
        <v>100</v>
      </c>
      <c r="B1" t="s">
        <v>15</v>
      </c>
      <c r="E1">
        <v>20</v>
      </c>
      <c r="I1">
        <v>100</v>
      </c>
      <c r="M1">
        <v>10</v>
      </c>
      <c r="Q1">
        <v>20</v>
      </c>
      <c r="U1">
        <v>100</v>
      </c>
    </row>
    <row r="2" spans="1:22" x14ac:dyDescent="0.2">
      <c r="A2">
        <v>2.2000000000000002</v>
      </c>
      <c r="B2" t="s">
        <v>17</v>
      </c>
      <c r="E2">
        <v>3.4</v>
      </c>
      <c r="I2">
        <v>3.8</v>
      </c>
      <c r="M2">
        <v>3.4</v>
      </c>
      <c r="Q2">
        <v>2.7</v>
      </c>
      <c r="U2">
        <v>2.7</v>
      </c>
    </row>
    <row r="3" spans="1:22" x14ac:dyDescent="0.2">
      <c r="A3">
        <f>A1/A2</f>
        <v>45.454545454545453</v>
      </c>
      <c r="B3" t="s">
        <v>14</v>
      </c>
      <c r="E3">
        <f>E1/E2</f>
        <v>5.882352941176471</v>
      </c>
      <c r="F3" t="s">
        <v>30</v>
      </c>
      <c r="I3">
        <f>I1/I2</f>
        <v>26.315789473684212</v>
      </c>
      <c r="J3" t="s">
        <v>14</v>
      </c>
      <c r="M3">
        <f>M1/M2</f>
        <v>2.9411764705882355</v>
      </c>
      <c r="N3" t="s">
        <v>7</v>
      </c>
      <c r="Q3">
        <f>Q1/Q2</f>
        <v>7.4074074074074066</v>
      </c>
      <c r="R3" t="s">
        <v>0</v>
      </c>
      <c r="U3">
        <f>U1/U2</f>
        <v>37.037037037037038</v>
      </c>
    </row>
    <row r="4" spans="1:22" x14ac:dyDescent="0.2">
      <c r="A4">
        <f>A3*3/4</f>
        <v>34.090909090909093</v>
      </c>
      <c r="E4">
        <f>E3*3/4</f>
        <v>4.4117647058823533</v>
      </c>
      <c r="I4">
        <f>I3*3/4</f>
        <v>19.736842105263158</v>
      </c>
      <c r="M4">
        <f>M3*3/4</f>
        <v>2.2058823529411766</v>
      </c>
      <c r="Q4">
        <f>Q3*3/4</f>
        <v>5.5555555555555554</v>
      </c>
      <c r="U4">
        <f>U3*3/4</f>
        <v>27.777777777777779</v>
      </c>
    </row>
    <row r="5" spans="1:22" x14ac:dyDescent="0.2">
      <c r="A5">
        <f>A4/PI()</f>
        <v>10.851473392629229</v>
      </c>
      <c r="E5">
        <f>E4/PI()</f>
        <v>1.4043083213990766</v>
      </c>
      <c r="I5">
        <f>I4/PI()</f>
        <v>6.2824319641537638</v>
      </c>
      <c r="M5">
        <f>M4/PI()</f>
        <v>0.70215416069953829</v>
      </c>
      <c r="Q5">
        <f>Q4/PI()</f>
        <v>1.7683882565766149</v>
      </c>
      <c r="U5">
        <f>U4/PI()</f>
        <v>8.8419412828830755</v>
      </c>
    </row>
    <row r="6" spans="1:22" x14ac:dyDescent="0.2">
      <c r="A6">
        <f>A5^0.33333</f>
        <v>2.2139073987701101</v>
      </c>
      <c r="B6" t="s">
        <v>2</v>
      </c>
      <c r="E6">
        <f>E5^0.33333</f>
        <v>1.1198340403410723</v>
      </c>
      <c r="F6" t="s">
        <v>16</v>
      </c>
      <c r="I6">
        <f>I5^0.33333</f>
        <v>1.8451850940907595</v>
      </c>
      <c r="J6" t="s">
        <v>2</v>
      </c>
      <c r="M6">
        <f>M5^0.33333</f>
        <v>0.88881492042975663</v>
      </c>
      <c r="N6" t="s">
        <v>2</v>
      </c>
      <c r="Q6">
        <f>Q5^0.33333</f>
        <v>1.2092749282984347</v>
      </c>
      <c r="R6" t="s">
        <v>1</v>
      </c>
      <c r="U6">
        <f>U5^0.33333</f>
        <v>2.067819946853692</v>
      </c>
    </row>
    <row r="7" spans="1:22" x14ac:dyDescent="0.2">
      <c r="A7">
        <f>A6*2</f>
        <v>4.4278147975402202</v>
      </c>
      <c r="B7" t="s">
        <v>31</v>
      </c>
      <c r="E7">
        <f>E6*2</f>
        <v>2.2396680806821445</v>
      </c>
      <c r="F7" t="s">
        <v>31</v>
      </c>
      <c r="I7">
        <f>I6*2</f>
        <v>3.690370188181519</v>
      </c>
      <c r="J7" t="s">
        <v>31</v>
      </c>
      <c r="M7">
        <f>M6*2</f>
        <v>1.7776298408595133</v>
      </c>
      <c r="N7" t="s">
        <v>31</v>
      </c>
      <c r="Q7">
        <f>Q6*2</f>
        <v>2.4185498565968695</v>
      </c>
      <c r="R7" t="s">
        <v>31</v>
      </c>
      <c r="U7">
        <f>U6*2</f>
        <v>4.1356398937073839</v>
      </c>
      <c r="V7" t="s">
        <v>31</v>
      </c>
    </row>
    <row r="8" spans="1:22" x14ac:dyDescent="0.2">
      <c r="A8">
        <f>CONVERT(A6,"cm","in")</f>
        <v>0.87161708612996447</v>
      </c>
      <c r="B8" t="s">
        <v>3</v>
      </c>
      <c r="E8">
        <f>CONVERT(E6,"cm","in")</f>
        <v>0.44087954344136704</v>
      </c>
      <c r="F8" t="s">
        <v>3</v>
      </c>
      <c r="I8">
        <f>CONVERT(I6,"cm","in")</f>
        <v>0.72645082444518094</v>
      </c>
      <c r="J8" t="s">
        <v>3</v>
      </c>
      <c r="M8">
        <f>CONVERT(M6,"cm","in")</f>
        <v>0.34992713402746317</v>
      </c>
      <c r="N8" t="s">
        <v>3</v>
      </c>
      <c r="Q8">
        <f>CONVERT(Q6,"cm","in")</f>
        <v>0.47609249145607668</v>
      </c>
      <c r="R8" t="s">
        <v>3</v>
      </c>
      <c r="U8">
        <f>CONVERT(U6,"cm","in")</f>
        <v>0.81410234128098113</v>
      </c>
    </row>
    <row r="9" spans="1:22" x14ac:dyDescent="0.2">
      <c r="A9">
        <f>A8/12</f>
        <v>7.2634757177497039E-2</v>
      </c>
      <c r="B9" t="s">
        <v>4</v>
      </c>
      <c r="E9">
        <f>E8/12</f>
        <v>3.6739961953447253E-2</v>
      </c>
      <c r="F9" t="s">
        <v>4</v>
      </c>
      <c r="I9">
        <f>I8/12</f>
        <v>6.0537568703765081E-2</v>
      </c>
      <c r="J9" t="s">
        <v>4</v>
      </c>
      <c r="M9">
        <f>M8/12</f>
        <v>2.9160594502288598E-2</v>
      </c>
      <c r="N9" t="s">
        <v>4</v>
      </c>
      <c r="Q9">
        <f>Q8/12</f>
        <v>3.9674374288006388E-2</v>
      </c>
      <c r="R9" t="s">
        <v>4</v>
      </c>
      <c r="U9">
        <f>U8/12</f>
        <v>6.7841861773415099E-2</v>
      </c>
    </row>
    <row r="11" spans="1:22" x14ac:dyDescent="0.2">
      <c r="A11">
        <f>PI()*A8^2</f>
        <v>2.3867192877416099</v>
      </c>
      <c r="B11" t="s">
        <v>8</v>
      </c>
      <c r="E11">
        <f>PI()*E8^2</f>
        <v>0.61064635520882671</v>
      </c>
      <c r="F11" t="s">
        <v>5</v>
      </c>
      <c r="I11">
        <f>PI()*I8^2</f>
        <v>1.6579152054120421</v>
      </c>
      <c r="J11" t="s">
        <v>5</v>
      </c>
      <c r="M11">
        <f>PI()*M8^2</f>
        <v>0.38468487610206575</v>
      </c>
      <c r="N11" t="s">
        <v>8</v>
      </c>
      <c r="Q11">
        <f>PI()*Q8^2</f>
        <v>0.71208614705098938</v>
      </c>
      <c r="R11" t="s">
        <v>5</v>
      </c>
      <c r="U11">
        <f>PI()*U8^2</f>
        <v>2.0821301845978448</v>
      </c>
    </row>
    <row r="12" spans="1:22" x14ac:dyDescent="0.2">
      <c r="A12">
        <f>PI()*A6^2</f>
        <v>15.398158156793777</v>
      </c>
      <c r="B12" t="s">
        <v>6</v>
      </c>
      <c r="E12">
        <f>PI()*E6^2</f>
        <v>3.9396460252652665</v>
      </c>
      <c r="F12" t="s">
        <v>6</v>
      </c>
      <c r="I12">
        <f>PI()*I6^2</f>
        <v>10.69620573923633</v>
      </c>
      <c r="J12" t="s">
        <v>6</v>
      </c>
      <c r="M12">
        <f>PI()*M6^2</f>
        <v>2.4818329466600888</v>
      </c>
      <c r="N12" t="s">
        <v>6</v>
      </c>
      <c r="Q12">
        <f>PI()*Q6^2</f>
        <v>4.5940949863141629</v>
      </c>
      <c r="R12" t="s">
        <v>6</v>
      </c>
      <c r="U12">
        <f>PI()*U6^2</f>
        <v>13.433071098951455</v>
      </c>
    </row>
    <row r="14" spans="1:22" x14ac:dyDescent="0.2">
      <c r="H14" t="s">
        <v>32</v>
      </c>
      <c r="I14">
        <f>I7^6</f>
        <v>2525.9200463308694</v>
      </c>
      <c r="L14" t="s">
        <v>33</v>
      </c>
      <c r="M14">
        <f>M7^6</f>
        <v>31.553532932056452</v>
      </c>
    </row>
    <row r="15" spans="1:22" x14ac:dyDescent="0.2">
      <c r="A15">
        <v>0.5</v>
      </c>
      <c r="B15" t="s">
        <v>9</v>
      </c>
      <c r="I15">
        <f>I14/M14</f>
        <v>80.051893135703025</v>
      </c>
    </row>
    <row r="16" spans="1:22" x14ac:dyDescent="0.2">
      <c r="A16" t="s">
        <v>13</v>
      </c>
    </row>
    <row r="17" spans="1:22" x14ac:dyDescent="0.2">
      <c r="A17">
        <f>A1*2*980.665/0.001225</f>
        <v>160108571.42857143</v>
      </c>
      <c r="E17">
        <f>E1*2*980.7/0.001225</f>
        <v>32022857.142857146</v>
      </c>
      <c r="I17">
        <f>I1*2*980.7/0.001225</f>
        <v>160114285.71428573</v>
      </c>
      <c r="M17">
        <f>M1*2*980.7/0.001225</f>
        <v>16011428.571428573</v>
      </c>
      <c r="Q17">
        <f>Q1*2*980.7/0.001225</f>
        <v>32022857.142857146</v>
      </c>
      <c r="U17">
        <f>U1*2*980.7/0.001225</f>
        <v>160114285.71428573</v>
      </c>
    </row>
    <row r="18" spans="1:22" x14ac:dyDescent="0.2">
      <c r="A18">
        <f>A17/A12</f>
        <v>10397904.073866809</v>
      </c>
      <c r="E18">
        <f>E17/E12</f>
        <v>8128358.9788249983</v>
      </c>
      <c r="I18">
        <f>I17/I12</f>
        <v>14969260.092571603</v>
      </c>
      <c r="M18">
        <f>M17/M12</f>
        <v>6451452.9847691208</v>
      </c>
      <c r="Q18">
        <f>Q17/Q12</f>
        <v>6970438.6257257266</v>
      </c>
      <c r="U18">
        <f>U17/U12</f>
        <v>11919410.277429691</v>
      </c>
    </row>
    <row r="19" spans="1:22" x14ac:dyDescent="0.2">
      <c r="A19">
        <f>A18/$A$15</f>
        <v>20795808.147733618</v>
      </c>
      <c r="E19">
        <f>E18/$A$15</f>
        <v>16256717.957649997</v>
      </c>
      <c r="I19">
        <f>I18/$A$15</f>
        <v>29938520.185143206</v>
      </c>
      <c r="M19">
        <f>M18/$A$15</f>
        <v>12902905.969538242</v>
      </c>
      <c r="Q19">
        <f>Q18/$A$15</f>
        <v>13940877.251451453</v>
      </c>
      <c r="U19">
        <f>U18/$A$15</f>
        <v>23838820.554859381</v>
      </c>
    </row>
    <row r="20" spans="1:22" x14ac:dyDescent="0.2">
      <c r="A20">
        <f>SQRT(A19)</f>
        <v>4560.2421150344217</v>
      </c>
      <c r="E20">
        <f>SQRT(E19)</f>
        <v>4031.962048141078</v>
      </c>
      <c r="I20">
        <f>SQRT(I19)</f>
        <v>5471.6103831635537</v>
      </c>
      <c r="M20">
        <f>SQRT(M19)</f>
        <v>3592.0615208454101</v>
      </c>
      <c r="Q20">
        <f>SQRT(Q19)</f>
        <v>3733.7484183393308</v>
      </c>
      <c r="U20">
        <f>SQRT(U19)</f>
        <v>4882.5014649111354</v>
      </c>
    </row>
    <row r="21" spans="1:22" x14ac:dyDescent="0.2">
      <c r="A21">
        <f>A20/100</f>
        <v>45.602421150344213</v>
      </c>
      <c r="B21" t="s">
        <v>10</v>
      </c>
      <c r="E21">
        <f>E20/100</f>
        <v>40.31962048141078</v>
      </c>
      <c r="F21" t="s">
        <v>10</v>
      </c>
      <c r="I21">
        <f>I20/100</f>
        <v>54.716103831635536</v>
      </c>
      <c r="J21" t="s">
        <v>10</v>
      </c>
      <c r="M21">
        <f>M20/100</f>
        <v>35.920615208454102</v>
      </c>
      <c r="N21" t="s">
        <v>10</v>
      </c>
      <c r="Q21">
        <f>Q20/100</f>
        <v>37.337484183393308</v>
      </c>
      <c r="R21" t="s">
        <v>10</v>
      </c>
      <c r="U21">
        <f>U20/100</f>
        <v>48.825014649111353</v>
      </c>
      <c r="V21" t="s">
        <v>10</v>
      </c>
    </row>
    <row r="22" spans="1:22" x14ac:dyDescent="0.2">
      <c r="A22">
        <f>A21*3.28</f>
        <v>149.57594137312901</v>
      </c>
      <c r="B22" t="s">
        <v>11</v>
      </c>
      <c r="E22">
        <f>E21*3.28</f>
        <v>132.24835517902736</v>
      </c>
      <c r="F22" t="s">
        <v>11</v>
      </c>
      <c r="I22">
        <f>I21*3.28</f>
        <v>179.46882056776454</v>
      </c>
      <c r="J22" t="s">
        <v>11</v>
      </c>
      <c r="M22">
        <f>M21*3.28</f>
        <v>117.81961788372945</v>
      </c>
      <c r="N22" t="s">
        <v>11</v>
      </c>
      <c r="Q22">
        <f>Q21*3.28</f>
        <v>122.46694812153004</v>
      </c>
      <c r="R22" t="s">
        <v>11</v>
      </c>
      <c r="U22">
        <f>U21*3.28</f>
        <v>160.14604804908524</v>
      </c>
      <c r="V22" t="s">
        <v>11</v>
      </c>
    </row>
    <row r="23" spans="1:22" x14ac:dyDescent="0.2">
      <c r="A23">
        <f>A22*3600/5280</f>
        <v>101.98359639076979</v>
      </c>
      <c r="B23" t="s">
        <v>12</v>
      </c>
      <c r="E23">
        <f>E22*3600/5280</f>
        <v>90.169333076609561</v>
      </c>
      <c r="F23" t="s">
        <v>12</v>
      </c>
      <c r="I23">
        <f>I22*3600/5280</f>
        <v>122.36510493256672</v>
      </c>
      <c r="J23" t="s">
        <v>12</v>
      </c>
      <c r="M23">
        <f>M22*3600/5280</f>
        <v>80.331557647997357</v>
      </c>
      <c r="N23" t="s">
        <v>12</v>
      </c>
      <c r="Q23">
        <f>Q22*3600/5280</f>
        <v>83.500191901043209</v>
      </c>
      <c r="R23" t="s">
        <v>12</v>
      </c>
      <c r="U23">
        <f>U22*3600/5280</f>
        <v>109.19048730619448</v>
      </c>
      <c r="V2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3"/>
  <sheetViews>
    <sheetView topLeftCell="I8" workbookViewId="0">
      <selection activeCell="Q1" sqref="Q1"/>
    </sheetView>
  </sheetViews>
  <sheetFormatPr defaultRowHeight="12.75" x14ac:dyDescent="0.2"/>
  <sheetData>
    <row r="1" spans="1:27" x14ac:dyDescent="0.2">
      <c r="A1">
        <v>101325</v>
      </c>
      <c r="B1">
        <v>288.14999999999998</v>
      </c>
      <c r="C1">
        <f>28.9644/8.31447</f>
        <v>3.483613507535658</v>
      </c>
      <c r="D1" s="6" t="s">
        <v>21</v>
      </c>
      <c r="E1" s="6"/>
      <c r="F1" s="6"/>
      <c r="G1" s="6"/>
      <c r="H1" s="6" t="s">
        <v>22</v>
      </c>
      <c r="I1" s="6"/>
      <c r="J1" s="6"/>
      <c r="K1" s="6"/>
      <c r="L1" s="6" t="s">
        <v>23</v>
      </c>
      <c r="M1" s="6"/>
      <c r="N1" s="6"/>
      <c r="O1" s="6"/>
    </row>
    <row r="2" spans="1:27" x14ac:dyDescent="0.2">
      <c r="A2" s="1" t="s">
        <v>18</v>
      </c>
      <c r="B2" t="s">
        <v>20</v>
      </c>
      <c r="C2" t="s">
        <v>19</v>
      </c>
      <c r="D2">
        <v>10</v>
      </c>
      <c r="E2">
        <v>100</v>
      </c>
      <c r="F2">
        <v>1000</v>
      </c>
      <c r="G2">
        <v>10000</v>
      </c>
      <c r="H2">
        <v>10</v>
      </c>
      <c r="I2">
        <v>100</v>
      </c>
      <c r="J2">
        <v>1000</v>
      </c>
      <c r="K2">
        <v>10000</v>
      </c>
      <c r="L2">
        <v>10</v>
      </c>
      <c r="M2">
        <v>100</v>
      </c>
      <c r="N2">
        <v>1000</v>
      </c>
      <c r="O2">
        <v>10000</v>
      </c>
    </row>
    <row r="3" spans="1:27" x14ac:dyDescent="0.2">
      <c r="A3" s="2">
        <v>30000</v>
      </c>
      <c r="B3">
        <v>18.012</v>
      </c>
      <c r="C3">
        <f>9.080665*6378.137/(6378.137+A3/1000)</f>
        <v>9.0381534322853891</v>
      </c>
      <c r="D3">
        <f t="shared" ref="D3:D33" si="0">SQRT((4*$D$2*$C3)/($B3*PI()*(0.01*($D$2/2.2*0.75/PI())^0.33333)^2))</f>
        <v>245.97133221818797</v>
      </c>
      <c r="E3">
        <f t="shared" ref="E3:E33" si="1">SQRT((4*$E$2*$C3)/($B3*PI()*(0.01*($E$2/2.2*0.75/PI())^0.33333)^2))</f>
        <v>361.03931235437534</v>
      </c>
      <c r="F3">
        <f t="shared" ref="F3:F33" si="2">SQRT((4*$F$2*$C3)/($B3*PI()*(0.01*($F$2/2.2*0.75/PI())^0.33333)^2))</f>
        <v>529.93730566005274</v>
      </c>
      <c r="G3">
        <f t="shared" ref="G3:G33" si="3">SQRT((4*$G$2*$C3)/($B3*PI()*(0.01*($G$2/2.2*0.75/PI())^0.33333)^2))</f>
        <v>777.84755931117559</v>
      </c>
      <c r="H3">
        <f>SQRT((4*$H$2*$C3)/($B3*PI()*(0.01*($H$2/3.4*0.75/PI())^0.33333)^2))</f>
        <v>284.38233026683758</v>
      </c>
      <c r="I3">
        <f>SQRT((4*$I$2*$C3)/($B3*PI()*(0.01*($I$2/3.4*0.75/PI())^0.33333)^2))</f>
        <v>417.41937989016543</v>
      </c>
      <c r="J3">
        <f>SQRT((4*$J$2*$C3)/($B3*PI()*(0.01*($J$2/3.4*0.75/PI())^0.33333)^2))</f>
        <v>612.69256266520097</v>
      </c>
      <c r="K3">
        <f>SQRT((4*$K$2*$C3)/($B3*PI()*(0.01*($K$2/3.4*0.75/PI())^0.33333)^2))</f>
        <v>899.31659724095061</v>
      </c>
      <c r="L3">
        <f>SQRT((4*$L$2*$C3)/($B3*PI()*(0.01*($L$2/7*0.75/PI())^0.33333)^2))</f>
        <v>361.7772646728082</v>
      </c>
      <c r="M3">
        <f>SQRT((4*$M$2*$C3)/($B3*PI()*(0.01*($M$2/7*0.75/PI())^0.33333)^2))</f>
        <v>531.0204798462255</v>
      </c>
      <c r="N3">
        <f>SQRT((4*$N$2*$C3)/($B3*PI()*(0.01*($N$2/7*0.75/PI())^0.33333)^2))</f>
        <v>779.4374537911915</v>
      </c>
      <c r="O3">
        <f>SQRT((4*$O$2*$C3)/($B3*PI()*(0.01*($O$2/7*0.75/PI())^0.33333)^2))</f>
        <v>1144.0665048331546</v>
      </c>
      <c r="P3">
        <f t="shared" ref="P3:P30" si="4">($A3-$A4)/AVERAGE(D3:D4)+P4</f>
        <v>459.01582910311322</v>
      </c>
      <c r="Q3">
        <f t="shared" ref="Q3:Q31" si="5">($A3-$A4)/AVERAGE(E3:E4)+Q4</f>
        <v>312.72144370502252</v>
      </c>
      <c r="R3">
        <f t="shared" ref="R3:R31" si="6">($A3-$A4)/AVERAGE(F3:F4)+R4</f>
        <v>213.053004172074</v>
      </c>
      <c r="S3">
        <f t="shared" ref="S3:S31" si="7">($A3-$A4)/AVERAGE(G3:G4)+S4</f>
        <v>145.15020795811435</v>
      </c>
      <c r="T3">
        <f t="shared" ref="T3:T31" si="8">($A3-$A4)/AVERAGE(H3:H4)+T4</f>
        <v>397.01740571500949</v>
      </c>
      <c r="U3">
        <f t="shared" ref="U3:U31" si="9">($A3-$A4)/AVERAGE(I3:I4)+U4</f>
        <v>270.48273375193361</v>
      </c>
      <c r="V3">
        <f t="shared" ref="V3:V31" si="10">($A3-$A4)/AVERAGE(J3:J4)+V4</f>
        <v>184.27632694380264</v>
      </c>
      <c r="W3">
        <f t="shared" ref="W3:W31" si="11">($A3-$A4)/AVERAGE(K3:K4)+W4</f>
        <v>125.54503646448184</v>
      </c>
      <c r="X3">
        <f t="shared" ref="X3:X31" si="12">($A3-$A4)/AVERAGE(L3:L4)+X4</f>
        <v>312.08355532191899</v>
      </c>
      <c r="Y3">
        <f t="shared" ref="Y3:Y31" si="13">($A3-$A4)/AVERAGE(M3:M4)+Y4</f>
        <v>212.61841921129701</v>
      </c>
      <c r="Z3">
        <f t="shared" ref="Z3:Z31" si="14">($A3-$A4)/AVERAGE(N3:N4)+Z4</f>
        <v>144.85413094348888</v>
      </c>
      <c r="AA3">
        <f t="shared" ref="AA3:AA31" si="15">($A3-$A4)/AVERAGE(O3:O4)+AA4</f>
        <v>98.687213126822869</v>
      </c>
    </row>
    <row r="4" spans="1:27" x14ac:dyDescent="0.2">
      <c r="A4" s="2">
        <v>29000</v>
      </c>
      <c r="B4">
        <v>21.042000000000002</v>
      </c>
      <c r="C4">
        <f t="shared" ref="C4:C33" si="16">9.080665*6378.137/(6378.137+A4/1000)</f>
        <v>9.0395640706769651</v>
      </c>
      <c r="D4">
        <f t="shared" si="0"/>
        <v>227.59139781657552</v>
      </c>
      <c r="E4">
        <f t="shared" si="1"/>
        <v>334.06105103573373</v>
      </c>
      <c r="F4">
        <f t="shared" si="2"/>
        <v>490.33832952262628</v>
      </c>
      <c r="G4">
        <f t="shared" si="3"/>
        <v>719.72376502318173</v>
      </c>
      <c r="H4">
        <f t="shared" ref="H4:H33" si="17">SQRT((4*$H$2*$C4)/($B4*PI()*(0.01*($H$2/3.4*0.75/PI())^0.33333)^2))</f>
        <v>263.13217673006022</v>
      </c>
      <c r="I4">
        <f t="shared" ref="I4:I33" si="18">SQRT((4*$I$2*$C4)/($B4*PI()*(0.01*($I$2/3.4*0.75/PI())^0.33333)^2))</f>
        <v>386.22818069164487</v>
      </c>
      <c r="J4">
        <f t="shared" ref="J4:J33" si="19">SQRT((4*$J$2*$C4)/($B4*PI()*(0.01*($J$2/3.4*0.75/PI())^0.33333)^2))</f>
        <v>566.90979193095552</v>
      </c>
      <c r="K4">
        <f t="shared" ref="K4:K33" si="20">SQRT((4*$K$2*$C4)/($B4*PI()*(0.01*($K$2/3.4*0.75/PI())^0.33333)^2))</f>
        <v>832.11616410711019</v>
      </c>
      <c r="L4">
        <f t="shared" ref="L4:L33" si="21">SQRT((4*$L$2*$C4)/($B4*PI()*(0.01*($L$2/7*0.75/PI())^0.33333)^2))</f>
        <v>334.74386068740944</v>
      </c>
      <c r="M4">
        <f t="shared" ref="M4:M33" si="22">SQRT((4*$M$2*$C4)/($B4*PI()*(0.01*($M$2/7*0.75/PI())^0.33333)^2))</f>
        <v>491.34056472169095</v>
      </c>
      <c r="N4">
        <f t="shared" ref="N4:N33" si="23">SQRT((4*$N$2*$C4)/($B4*PI()*(0.01*($N$2/7*0.75/PI())^0.33333)^2))</f>
        <v>721.19485640535424</v>
      </c>
      <c r="O4">
        <f t="shared" ref="O4:O33" si="24">SQRT((4*$O$2*$C4)/($B4*PI()*(0.01*($O$2/7*0.75/PI())^0.33333)^2))</f>
        <v>1058.5774068952585</v>
      </c>
      <c r="P4">
        <f t="shared" si="4"/>
        <v>454.79252377700959</v>
      </c>
      <c r="Q4">
        <f t="shared" si="5"/>
        <v>309.8441613651807</v>
      </c>
      <c r="R4">
        <f t="shared" si="6"/>
        <v>211.09274957906698</v>
      </c>
      <c r="S4">
        <f t="shared" si="7"/>
        <v>143.81471230091154</v>
      </c>
      <c r="T4">
        <f t="shared" si="8"/>
        <v>393.36453446787129</v>
      </c>
      <c r="U4">
        <f t="shared" si="9"/>
        <v>267.99408064316032</v>
      </c>
      <c r="V4">
        <f t="shared" si="10"/>
        <v>182.58084033154955</v>
      </c>
      <c r="W4">
        <f t="shared" si="11"/>
        <v>124.38992374821163</v>
      </c>
      <c r="X4">
        <f t="shared" si="12"/>
        <v>309.21214205506988</v>
      </c>
      <c r="Y4">
        <f t="shared" si="13"/>
        <v>210.66216314048273</v>
      </c>
      <c r="Z4">
        <f t="shared" si="14"/>
        <v>143.52135942683532</v>
      </c>
      <c r="AA4">
        <f t="shared" si="15"/>
        <v>97.779213431842393</v>
      </c>
    </row>
    <row r="5" spans="1:27" x14ac:dyDescent="0.2">
      <c r="A5" s="2">
        <v>28000</v>
      </c>
      <c r="B5">
        <v>24.599</v>
      </c>
      <c r="C5">
        <f t="shared" si="16"/>
        <v>9.040975149470734</v>
      </c>
      <c r="D5">
        <f t="shared" si="0"/>
        <v>210.51086663564556</v>
      </c>
      <c r="E5">
        <f t="shared" si="1"/>
        <v>308.99006745159704</v>
      </c>
      <c r="F5">
        <f t="shared" si="2"/>
        <v>453.53887573410373</v>
      </c>
      <c r="G5">
        <f t="shared" si="3"/>
        <v>665.70913912751246</v>
      </c>
      <c r="H5">
        <f t="shared" si="17"/>
        <v>243.38434182741594</v>
      </c>
      <c r="I5">
        <f t="shared" si="18"/>
        <v>357.24210060888947</v>
      </c>
      <c r="J5">
        <f t="shared" si="19"/>
        <v>524.36371826232255</v>
      </c>
      <c r="K5">
        <f t="shared" si="20"/>
        <v>769.66658901973301</v>
      </c>
      <c r="L5">
        <f t="shared" si="21"/>
        <v>309.62163284862174</v>
      </c>
      <c r="M5">
        <f t="shared" si="22"/>
        <v>454.46589407641329</v>
      </c>
      <c r="N5">
        <f t="shared" si="23"/>
        <v>667.0698264150476</v>
      </c>
      <c r="O5">
        <f t="shared" si="24"/>
        <v>979.13211775267553</v>
      </c>
      <c r="P5">
        <f t="shared" si="4"/>
        <v>450.22737960342107</v>
      </c>
      <c r="Q5">
        <f t="shared" si="5"/>
        <v>306.73398871715756</v>
      </c>
      <c r="R5">
        <f t="shared" si="6"/>
        <v>208.97382988393989</v>
      </c>
      <c r="S5">
        <f t="shared" si="7"/>
        <v>142.37112019767213</v>
      </c>
      <c r="T5">
        <f t="shared" si="8"/>
        <v>389.41599591735007</v>
      </c>
      <c r="U5">
        <f t="shared" si="9"/>
        <v>265.30399329158325</v>
      </c>
      <c r="V5">
        <f t="shared" si="10"/>
        <v>180.74811922055531</v>
      </c>
      <c r="W5">
        <f t="shared" si="11"/>
        <v>123.14131497395944</v>
      </c>
      <c r="X5">
        <f t="shared" si="12"/>
        <v>306.10831352908104</v>
      </c>
      <c r="Y5">
        <f t="shared" si="13"/>
        <v>208.54756561220879</v>
      </c>
      <c r="Z5">
        <f t="shared" si="14"/>
        <v>142.08071195899311</v>
      </c>
      <c r="AA5">
        <f t="shared" si="15"/>
        <v>96.797719270968045</v>
      </c>
    </row>
    <row r="6" spans="1:27" x14ac:dyDescent="0.2">
      <c r="A6" s="2">
        <v>27000</v>
      </c>
      <c r="B6">
        <v>28.777000000000001</v>
      </c>
      <c r="C6">
        <f t="shared" si="16"/>
        <v>9.0423866688729682</v>
      </c>
      <c r="D6">
        <f t="shared" si="0"/>
        <v>194.64550837123178</v>
      </c>
      <c r="E6">
        <f t="shared" si="1"/>
        <v>285.70272747427509</v>
      </c>
      <c r="F6">
        <f t="shared" si="2"/>
        <v>419.3574728195685</v>
      </c>
      <c r="G6">
        <f t="shared" si="3"/>
        <v>615.5373158817664</v>
      </c>
      <c r="H6">
        <f t="shared" si="17"/>
        <v>225.04144181112457</v>
      </c>
      <c r="I6">
        <f t="shared" si="18"/>
        <v>330.31819875112166</v>
      </c>
      <c r="J6">
        <f t="shared" si="19"/>
        <v>484.8445315141588</v>
      </c>
      <c r="K6">
        <f t="shared" si="20"/>
        <v>711.6599104377558</v>
      </c>
      <c r="L6">
        <f t="shared" si="21"/>
        <v>286.28669432471958</v>
      </c>
      <c r="M6">
        <f t="shared" si="22"/>
        <v>420.21462551383115</v>
      </c>
      <c r="N6">
        <f t="shared" si="23"/>
        <v>616.79545363517252</v>
      </c>
      <c r="O6">
        <f t="shared" si="24"/>
        <v>905.33886382423475</v>
      </c>
      <c r="P6">
        <f t="shared" si="4"/>
        <v>445.29101398418072</v>
      </c>
      <c r="Q6">
        <f t="shared" si="5"/>
        <v>303.37090778349784</v>
      </c>
      <c r="R6">
        <f t="shared" si="6"/>
        <v>206.68260710208972</v>
      </c>
      <c r="S6">
        <f t="shared" si="7"/>
        <v>140.81014026896239</v>
      </c>
      <c r="T6">
        <f t="shared" si="8"/>
        <v>385.14637611874542</v>
      </c>
      <c r="U6">
        <f t="shared" si="9"/>
        <v>262.39515751112646</v>
      </c>
      <c r="V6">
        <f t="shared" si="10"/>
        <v>178.76636768370159</v>
      </c>
      <c r="W6">
        <f t="shared" si="11"/>
        <v>121.79117373181433</v>
      </c>
      <c r="X6">
        <f t="shared" si="12"/>
        <v>302.75209259911537</v>
      </c>
      <c r="Y6">
        <f t="shared" si="13"/>
        <v>206.26101646059749</v>
      </c>
      <c r="Z6">
        <f t="shared" si="14"/>
        <v>140.52291611305998</v>
      </c>
      <c r="AA6">
        <f t="shared" si="15"/>
        <v>95.736413461776749</v>
      </c>
    </row>
    <row r="7" spans="1:27" x14ac:dyDescent="0.2">
      <c r="A7" s="2">
        <v>26000</v>
      </c>
      <c r="B7">
        <v>33.688000000000002</v>
      </c>
      <c r="C7">
        <f t="shared" si="16"/>
        <v>9.0437986290900714</v>
      </c>
      <c r="D7">
        <f t="shared" si="0"/>
        <v>179.91336867059778</v>
      </c>
      <c r="E7">
        <f t="shared" si="1"/>
        <v>264.07873764155994</v>
      </c>
      <c r="F7">
        <f t="shared" si="2"/>
        <v>387.61755276808782</v>
      </c>
      <c r="G7">
        <f t="shared" si="3"/>
        <v>568.94912689962723</v>
      </c>
      <c r="H7">
        <f t="shared" si="17"/>
        <v>208.00872429847328</v>
      </c>
      <c r="I7">
        <f t="shared" si="18"/>
        <v>305.31739657292684</v>
      </c>
      <c r="J7">
        <f t="shared" si="19"/>
        <v>448.14809073252945</v>
      </c>
      <c r="K7">
        <f t="shared" si="20"/>
        <v>657.79648811868594</v>
      </c>
      <c r="L7">
        <f t="shared" si="21"/>
        <v>264.61850577766836</v>
      </c>
      <c r="M7">
        <f t="shared" si="22"/>
        <v>388.40983012388352</v>
      </c>
      <c r="N7">
        <f t="shared" si="23"/>
        <v>570.11203994787104</v>
      </c>
      <c r="O7">
        <f t="shared" si="24"/>
        <v>836.81645747702942</v>
      </c>
      <c r="P7">
        <f t="shared" si="4"/>
        <v>439.95139951343185</v>
      </c>
      <c r="Q7">
        <f t="shared" si="5"/>
        <v>299.73309871407309</v>
      </c>
      <c r="R7">
        <f t="shared" si="6"/>
        <v>204.20421565677384</v>
      </c>
      <c r="S7">
        <f t="shared" si="7"/>
        <v>139.12164479297903</v>
      </c>
      <c r="T7">
        <f t="shared" si="8"/>
        <v>380.52797354897518</v>
      </c>
      <c r="U7">
        <f t="shared" si="9"/>
        <v>259.24870061866687</v>
      </c>
      <c r="V7">
        <f t="shared" si="10"/>
        <v>176.62272801034177</v>
      </c>
      <c r="W7">
        <f t="shared" si="11"/>
        <v>120.33074023272066</v>
      </c>
      <c r="X7">
        <f t="shared" si="12"/>
        <v>299.12170392311759</v>
      </c>
      <c r="Y7">
        <f t="shared" si="13"/>
        <v>203.78768043167079</v>
      </c>
      <c r="Z7">
        <f t="shared" si="14"/>
        <v>138.83786482573313</v>
      </c>
      <c r="AA7">
        <f t="shared" si="15"/>
        <v>94.588410195049562</v>
      </c>
    </row>
    <row r="8" spans="1:27" x14ac:dyDescent="0.2">
      <c r="A8" s="2">
        <v>25000</v>
      </c>
      <c r="B8">
        <v>39.466000000000001</v>
      </c>
      <c r="C8">
        <f t="shared" si="16"/>
        <v>9.0452110303285718</v>
      </c>
      <c r="D8">
        <f t="shared" si="0"/>
        <v>166.23535826259433</v>
      </c>
      <c r="E8">
        <f t="shared" si="1"/>
        <v>244.00200988817664</v>
      </c>
      <c r="F8">
        <f t="shared" si="2"/>
        <v>358.14872029464425</v>
      </c>
      <c r="G8">
        <f t="shared" si="3"/>
        <v>525.69446418689824</v>
      </c>
      <c r="H8">
        <f t="shared" si="17"/>
        <v>192.19474940081466</v>
      </c>
      <c r="I8">
        <f t="shared" si="18"/>
        <v>282.10547764257177</v>
      </c>
      <c r="J8">
        <f t="shared" si="19"/>
        <v>414.07739162517532</v>
      </c>
      <c r="K8">
        <f t="shared" si="20"/>
        <v>607.78715708721222</v>
      </c>
      <c r="L8">
        <f t="shared" si="21"/>
        <v>244.50074186205799</v>
      </c>
      <c r="M8">
        <f t="shared" si="22"/>
        <v>358.88076433927097</v>
      </c>
      <c r="N8">
        <f t="shared" si="23"/>
        <v>526.76896614654413</v>
      </c>
      <c r="O8">
        <f t="shared" si="24"/>
        <v>773.1970371997304</v>
      </c>
      <c r="P8">
        <f t="shared" si="4"/>
        <v>434.17353628764567</v>
      </c>
      <c r="Q8">
        <f t="shared" si="5"/>
        <v>295.79671653520899</v>
      </c>
      <c r="R8">
        <f t="shared" si="6"/>
        <v>201.52241028122856</v>
      </c>
      <c r="S8">
        <f t="shared" si="7"/>
        <v>137.29456608326419</v>
      </c>
      <c r="T8">
        <f t="shared" si="8"/>
        <v>375.53051567707575</v>
      </c>
      <c r="U8">
        <f t="shared" si="9"/>
        <v>255.84399833724655</v>
      </c>
      <c r="V8">
        <f t="shared" si="10"/>
        <v>174.30314915200054</v>
      </c>
      <c r="W8">
        <f t="shared" si="11"/>
        <v>118.75044168226442</v>
      </c>
      <c r="X8">
        <f t="shared" si="12"/>
        <v>295.19335116632834</v>
      </c>
      <c r="Y8">
        <f t="shared" si="13"/>
        <v>201.11134539571765</v>
      </c>
      <c r="Z8">
        <f t="shared" si="14"/>
        <v>137.01451298639256</v>
      </c>
      <c r="AA8">
        <f t="shared" si="15"/>
        <v>93.3461845822751</v>
      </c>
    </row>
    <row r="9" spans="1:27" x14ac:dyDescent="0.2">
      <c r="A9" s="2">
        <v>24000</v>
      </c>
      <c r="B9">
        <v>46.267000000000003</v>
      </c>
      <c r="C9">
        <f t="shared" si="16"/>
        <v>9.0466238727951307</v>
      </c>
      <c r="D9">
        <f t="shared" si="0"/>
        <v>153.54412526973778</v>
      </c>
      <c r="E9">
        <f t="shared" si="1"/>
        <v>225.37368441890769</v>
      </c>
      <c r="F9">
        <f t="shared" si="2"/>
        <v>330.80586795048373</v>
      </c>
      <c r="G9">
        <f t="shared" si="3"/>
        <v>485.56033750181706</v>
      </c>
      <c r="H9">
        <f t="shared" si="17"/>
        <v>177.52164754003996</v>
      </c>
      <c r="I9">
        <f t="shared" si="18"/>
        <v>260.56814417307373</v>
      </c>
      <c r="J9">
        <f t="shared" si="19"/>
        <v>382.46466669641444</v>
      </c>
      <c r="K9">
        <f t="shared" si="20"/>
        <v>561.3856664460036</v>
      </c>
      <c r="L9">
        <f t="shared" si="21"/>
        <v>225.83434071654497</v>
      </c>
      <c r="M9">
        <f t="shared" si="22"/>
        <v>331.48202411645156</v>
      </c>
      <c r="N9">
        <f t="shared" si="23"/>
        <v>486.55280664447588</v>
      </c>
      <c r="O9">
        <f t="shared" si="24"/>
        <v>714.16733466805067</v>
      </c>
      <c r="P9">
        <f t="shared" si="4"/>
        <v>427.91922635535201</v>
      </c>
      <c r="Q9">
        <f t="shared" si="5"/>
        <v>291.5357374852552</v>
      </c>
      <c r="R9">
        <f t="shared" si="6"/>
        <v>198.61946132911504</v>
      </c>
      <c r="S9">
        <f t="shared" si="7"/>
        <v>135.31682516508991</v>
      </c>
      <c r="T9">
        <f t="shared" si="8"/>
        <v>370.12096387859293</v>
      </c>
      <c r="U9">
        <f t="shared" si="9"/>
        <v>252.15854188681411</v>
      </c>
      <c r="V9">
        <f t="shared" si="10"/>
        <v>171.79229617304517</v>
      </c>
      <c r="W9">
        <f t="shared" si="11"/>
        <v>117.03983059060729</v>
      </c>
      <c r="X9">
        <f t="shared" si="12"/>
        <v>290.94106365029819</v>
      </c>
      <c r="Y9">
        <f t="shared" si="13"/>
        <v>198.21431787128543</v>
      </c>
      <c r="Z9">
        <f t="shared" si="14"/>
        <v>135.04080625897137</v>
      </c>
      <c r="AA9">
        <f t="shared" si="15"/>
        <v>92.00152416292643</v>
      </c>
    </row>
    <row r="10" spans="1:27" x14ac:dyDescent="0.2">
      <c r="A10" s="2">
        <v>23000</v>
      </c>
      <c r="B10">
        <v>54.28</v>
      </c>
      <c r="C10">
        <f t="shared" si="16"/>
        <v>9.0480371566965356</v>
      </c>
      <c r="D10">
        <f t="shared" si="0"/>
        <v>141.76952225903622</v>
      </c>
      <c r="E10">
        <f t="shared" si="1"/>
        <v>208.09079809271367</v>
      </c>
      <c r="F10">
        <f t="shared" si="2"/>
        <v>305.43786535263246</v>
      </c>
      <c r="G10">
        <f t="shared" si="3"/>
        <v>448.32491607633204</v>
      </c>
      <c r="H10">
        <f t="shared" si="17"/>
        <v>163.9083170272794</v>
      </c>
      <c r="I10">
        <f t="shared" si="18"/>
        <v>240.58635425122978</v>
      </c>
      <c r="J10">
        <f t="shared" si="19"/>
        <v>353.13518497212641</v>
      </c>
      <c r="K10">
        <f t="shared" si="20"/>
        <v>518.33554423072792</v>
      </c>
      <c r="L10">
        <f t="shared" si="21"/>
        <v>208.51612874686228</v>
      </c>
      <c r="M10">
        <f t="shared" si="22"/>
        <v>306.06217016698707</v>
      </c>
      <c r="N10">
        <f t="shared" si="23"/>
        <v>449.24127725891969</v>
      </c>
      <c r="O10">
        <f t="shared" si="24"/>
        <v>659.40107881713743</v>
      </c>
      <c r="P10">
        <f t="shared" si="4"/>
        <v>421.14676589937147</v>
      </c>
      <c r="Q10">
        <f t="shared" si="5"/>
        <v>286.92174930239094</v>
      </c>
      <c r="R10">
        <f t="shared" si="6"/>
        <v>195.47601190036102</v>
      </c>
      <c r="S10">
        <f t="shared" si="7"/>
        <v>133.1752344371744</v>
      </c>
      <c r="T10">
        <f t="shared" si="8"/>
        <v>364.26324719419318</v>
      </c>
      <c r="U10">
        <f t="shared" si="9"/>
        <v>248.16775659747066</v>
      </c>
      <c r="V10">
        <f t="shared" si="10"/>
        <v>169.07342667427699</v>
      </c>
      <c r="W10">
        <f t="shared" si="11"/>
        <v>115.18750058150572</v>
      </c>
      <c r="X10">
        <f t="shared" si="12"/>
        <v>286.33648706846373</v>
      </c>
      <c r="Y10">
        <f t="shared" si="13"/>
        <v>195.07728044245607</v>
      </c>
      <c r="Z10">
        <f t="shared" si="14"/>
        <v>132.90358394222241</v>
      </c>
      <c r="AA10">
        <f t="shared" si="15"/>
        <v>90.545462724439105</v>
      </c>
    </row>
    <row r="11" spans="1:27" x14ac:dyDescent="0.2">
      <c r="A11" s="2">
        <v>22000</v>
      </c>
      <c r="B11">
        <v>63.726999999999997</v>
      </c>
      <c r="C11">
        <f t="shared" si="16"/>
        <v>9.0494508822397073</v>
      </c>
      <c r="D11">
        <f t="shared" si="0"/>
        <v>130.85037877357263</v>
      </c>
      <c r="E11">
        <f t="shared" si="1"/>
        <v>192.06356426859637</v>
      </c>
      <c r="F11">
        <f t="shared" si="2"/>
        <v>281.91292272367099</v>
      </c>
      <c r="G11">
        <f t="shared" si="3"/>
        <v>413.79475748694682</v>
      </c>
      <c r="H11">
        <f t="shared" si="17"/>
        <v>151.2840349985118</v>
      </c>
      <c r="I11">
        <f t="shared" si="18"/>
        <v>222.05630011227461</v>
      </c>
      <c r="J11">
        <f t="shared" si="19"/>
        <v>325.93657632173574</v>
      </c>
      <c r="K11">
        <f t="shared" si="20"/>
        <v>478.41313995874464</v>
      </c>
      <c r="L11">
        <f t="shared" si="21"/>
        <v>192.45613579111071</v>
      </c>
      <c r="M11">
        <f t="shared" si="22"/>
        <v>282.48914333954644</v>
      </c>
      <c r="N11">
        <f t="shared" si="23"/>
        <v>414.64054017651466</v>
      </c>
      <c r="O11">
        <f t="shared" si="24"/>
        <v>608.6137524627602</v>
      </c>
      <c r="P11">
        <f t="shared" si="4"/>
        <v>413.81054432338033</v>
      </c>
      <c r="Q11">
        <f t="shared" si="5"/>
        <v>281.92367808757774</v>
      </c>
      <c r="R11">
        <f t="shared" si="6"/>
        <v>192.07089175648514</v>
      </c>
      <c r="S11">
        <f t="shared" si="7"/>
        <v>130.85537089464128</v>
      </c>
      <c r="T11">
        <f t="shared" si="8"/>
        <v>357.91791556686883</v>
      </c>
      <c r="U11">
        <f t="shared" si="9"/>
        <v>243.84476566454086</v>
      </c>
      <c r="V11">
        <f t="shared" si="10"/>
        <v>166.12822984237027</v>
      </c>
      <c r="W11">
        <f t="shared" si="11"/>
        <v>113.18097673881176</v>
      </c>
      <c r="X11">
        <f t="shared" si="12"/>
        <v>281.34861090624452</v>
      </c>
      <c r="Y11">
        <f t="shared" si="13"/>
        <v>191.67910605374527</v>
      </c>
      <c r="Z11">
        <f t="shared" si="14"/>
        <v>130.58845245127691</v>
      </c>
      <c r="AA11">
        <f t="shared" si="15"/>
        <v>88.968194106862086</v>
      </c>
    </row>
    <row r="12" spans="1:27" x14ac:dyDescent="0.2">
      <c r="A12" s="2">
        <v>21000</v>
      </c>
      <c r="B12">
        <v>74.873999999999995</v>
      </c>
      <c r="C12">
        <f t="shared" si="16"/>
        <v>9.0508650496316925</v>
      </c>
      <c r="D12">
        <f t="shared" si="0"/>
        <v>120.72720183838271</v>
      </c>
      <c r="E12">
        <f t="shared" si="1"/>
        <v>177.2046585312375</v>
      </c>
      <c r="F12">
        <f t="shared" si="2"/>
        <v>260.10286436696856</v>
      </c>
      <c r="G12">
        <f t="shared" si="3"/>
        <v>381.78172409601575</v>
      </c>
      <c r="H12">
        <f t="shared" si="17"/>
        <v>139.58001802803358</v>
      </c>
      <c r="I12">
        <f t="shared" si="18"/>
        <v>204.87702071943431</v>
      </c>
      <c r="J12">
        <f t="shared" si="19"/>
        <v>300.72064907199854</v>
      </c>
      <c r="K12">
        <f t="shared" si="20"/>
        <v>441.40093633109814</v>
      </c>
      <c r="L12">
        <f t="shared" si="21"/>
        <v>177.56685894577814</v>
      </c>
      <c r="M12">
        <f t="shared" si="22"/>
        <v>260.63450595064791</v>
      </c>
      <c r="N12">
        <f t="shared" si="23"/>
        <v>382.56207321255567</v>
      </c>
      <c r="O12">
        <f t="shared" si="24"/>
        <v>561.52864075642162</v>
      </c>
      <c r="P12">
        <f t="shared" si="4"/>
        <v>405.86071033922696</v>
      </c>
      <c r="Q12">
        <f t="shared" si="5"/>
        <v>276.50756081424248</v>
      </c>
      <c r="R12">
        <f t="shared" si="6"/>
        <v>188.38096233443761</v>
      </c>
      <c r="S12">
        <f t="shared" si="7"/>
        <v>128.341470538989</v>
      </c>
      <c r="T12">
        <f t="shared" si="8"/>
        <v>351.0418510302261</v>
      </c>
      <c r="U12">
        <f t="shared" si="9"/>
        <v>239.16019338495443</v>
      </c>
      <c r="V12">
        <f t="shared" si="10"/>
        <v>162.93669239740842</v>
      </c>
      <c r="W12">
        <f t="shared" si="11"/>
        <v>111.00662427829367</v>
      </c>
      <c r="X12">
        <f t="shared" si="12"/>
        <v>275.94354141476026</v>
      </c>
      <c r="Y12">
        <f t="shared" si="13"/>
        <v>187.99670334008368</v>
      </c>
      <c r="Z12">
        <f t="shared" si="14"/>
        <v>128.07967994299625</v>
      </c>
      <c r="AA12">
        <f t="shared" si="15"/>
        <v>87.259000412496576</v>
      </c>
    </row>
    <row r="13" spans="1:27" x14ac:dyDescent="0.2">
      <c r="A13" s="2">
        <v>20000</v>
      </c>
      <c r="B13">
        <v>88.034999999999997</v>
      </c>
      <c r="C13">
        <f t="shared" si="16"/>
        <v>9.0522796590796659</v>
      </c>
      <c r="D13">
        <f t="shared" si="0"/>
        <v>111.34658573085458</v>
      </c>
      <c r="E13">
        <f t="shared" si="1"/>
        <v>163.43569139844126</v>
      </c>
      <c r="F13">
        <f t="shared" si="2"/>
        <v>239.8926293748471</v>
      </c>
      <c r="G13">
        <f t="shared" si="3"/>
        <v>352.11692829126173</v>
      </c>
      <c r="H13">
        <f t="shared" si="17"/>
        <v>128.73452053066211</v>
      </c>
      <c r="I13">
        <f t="shared" si="18"/>
        <v>188.9578852523843</v>
      </c>
      <c r="J13">
        <f t="shared" si="19"/>
        <v>277.35437435018815</v>
      </c>
      <c r="K13">
        <f t="shared" si="20"/>
        <v>407.10367216714832</v>
      </c>
      <c r="L13">
        <f t="shared" si="21"/>
        <v>163.76974850318052</v>
      </c>
      <c r="M13">
        <f t="shared" si="22"/>
        <v>240.38296191195408</v>
      </c>
      <c r="N13">
        <f t="shared" si="23"/>
        <v>352.83664355411628</v>
      </c>
      <c r="O13">
        <f t="shared" si="24"/>
        <v>517.89734199270436</v>
      </c>
      <c r="P13">
        <f t="shared" si="4"/>
        <v>397.24276162150147</v>
      </c>
      <c r="Q13">
        <f t="shared" si="5"/>
        <v>270.63626576533568</v>
      </c>
      <c r="R13">
        <f t="shared" si="6"/>
        <v>184.38092628404723</v>
      </c>
      <c r="S13">
        <f t="shared" si="7"/>
        <v>125.61629861845985</v>
      </c>
      <c r="T13">
        <f t="shared" si="8"/>
        <v>343.58791278765676</v>
      </c>
      <c r="U13">
        <f t="shared" si="9"/>
        <v>234.0819233543566</v>
      </c>
      <c r="V13">
        <f t="shared" si="10"/>
        <v>159.47693385575744</v>
      </c>
      <c r="W13">
        <f t="shared" si="11"/>
        <v>108.64953631439944</v>
      </c>
      <c r="X13">
        <f t="shared" si="12"/>
        <v>270.08422261814081</v>
      </c>
      <c r="Y13">
        <f t="shared" si="13"/>
        <v>184.0048265527688</v>
      </c>
      <c r="Z13">
        <f t="shared" si="14"/>
        <v>125.36006682102428</v>
      </c>
      <c r="AA13">
        <f t="shared" si="15"/>
        <v>85.40616378269236</v>
      </c>
    </row>
    <row r="14" spans="1:27" x14ac:dyDescent="0.2">
      <c r="A14" s="2">
        <v>19000</v>
      </c>
      <c r="B14">
        <v>103.071</v>
      </c>
      <c r="C14">
        <f t="shared" si="16"/>
        <v>9.0536947107909356</v>
      </c>
      <c r="D14">
        <f t="shared" si="0"/>
        <v>102.91301124310426</v>
      </c>
      <c r="E14">
        <f t="shared" si="1"/>
        <v>151.05680193076196</v>
      </c>
      <c r="F14">
        <f t="shared" si="2"/>
        <v>221.72276502188538</v>
      </c>
      <c r="G14">
        <f t="shared" si="3"/>
        <v>325.44701000279008</v>
      </c>
      <c r="H14">
        <f t="shared" si="17"/>
        <v>118.98395511445365</v>
      </c>
      <c r="I14">
        <f t="shared" si="18"/>
        <v>174.64590262746788</v>
      </c>
      <c r="J14">
        <f t="shared" si="19"/>
        <v>256.34709549891107</v>
      </c>
      <c r="K14">
        <f t="shared" si="20"/>
        <v>376.26896699031113</v>
      </c>
      <c r="L14">
        <f t="shared" si="21"/>
        <v>151.36555699810609</v>
      </c>
      <c r="M14">
        <f t="shared" si="22"/>
        <v>222.17595896198628</v>
      </c>
      <c r="N14">
        <f t="shared" si="23"/>
        <v>326.11221284176196</v>
      </c>
      <c r="O14">
        <f t="shared" si="24"/>
        <v>478.6709410928961</v>
      </c>
      <c r="P14">
        <f t="shared" si="4"/>
        <v>387.90829059548213</v>
      </c>
      <c r="Q14">
        <f t="shared" si="5"/>
        <v>264.27681349724469</v>
      </c>
      <c r="R14">
        <f t="shared" si="6"/>
        <v>180.04831514439118</v>
      </c>
      <c r="S14">
        <f t="shared" si="7"/>
        <v>122.66454766631276</v>
      </c>
      <c r="T14">
        <f t="shared" si="8"/>
        <v>335.51423158648055</v>
      </c>
      <c r="U14">
        <f t="shared" si="9"/>
        <v>228.58143060189695</v>
      </c>
      <c r="V14">
        <f t="shared" si="10"/>
        <v>155.72952053016647</v>
      </c>
      <c r="W14">
        <f t="shared" si="11"/>
        <v>106.09647293175301</v>
      </c>
      <c r="X14">
        <f t="shared" si="12"/>
        <v>263.73774234415629</v>
      </c>
      <c r="Y14">
        <f t="shared" si="13"/>
        <v>179.68105306198566</v>
      </c>
      <c r="Z14">
        <f t="shared" si="14"/>
        <v>122.41433684275056</v>
      </c>
      <c r="AA14">
        <f t="shared" si="15"/>
        <v>83.399276714394787</v>
      </c>
    </row>
    <row r="15" spans="1:27" x14ac:dyDescent="0.2">
      <c r="A15" s="2">
        <v>18000</v>
      </c>
      <c r="B15">
        <v>120.676</v>
      </c>
      <c r="C15">
        <f t="shared" si="16"/>
        <v>9.0551102049729391</v>
      </c>
      <c r="D15">
        <f t="shared" si="0"/>
        <v>95.117849884798858</v>
      </c>
      <c r="E15">
        <f t="shared" si="1"/>
        <v>139.61498197916887</v>
      </c>
      <c r="F15">
        <f t="shared" si="2"/>
        <v>204.92834117520152</v>
      </c>
      <c r="G15">
        <f t="shared" si="3"/>
        <v>300.79597777755464</v>
      </c>
      <c r="H15">
        <f t="shared" si="17"/>
        <v>109.97149771996961</v>
      </c>
      <c r="I15">
        <f t="shared" si="18"/>
        <v>161.41732273165582</v>
      </c>
      <c r="J15">
        <f t="shared" si="19"/>
        <v>236.93004658537208</v>
      </c>
      <c r="K15">
        <f t="shared" si="20"/>
        <v>347.76841806667926</v>
      </c>
      <c r="L15">
        <f t="shared" si="21"/>
        <v>139.90035034796958</v>
      </c>
      <c r="M15">
        <f t="shared" si="22"/>
        <v>205.34720787283794</v>
      </c>
      <c r="N15">
        <f t="shared" si="23"/>
        <v>301.41079472845308</v>
      </c>
      <c r="O15">
        <f t="shared" si="24"/>
        <v>442.41393939525068</v>
      </c>
      <c r="P15">
        <f t="shared" si="4"/>
        <v>377.80885463580989</v>
      </c>
      <c r="Q15">
        <f t="shared" si="5"/>
        <v>257.39620068681887</v>
      </c>
      <c r="R15">
        <f t="shared" si="6"/>
        <v>175.36064418573176</v>
      </c>
      <c r="S15">
        <f t="shared" si="7"/>
        <v>119.47089913207719</v>
      </c>
      <c r="T15">
        <f t="shared" si="8"/>
        <v>326.77890785760491</v>
      </c>
      <c r="U15">
        <f t="shared" si="9"/>
        <v>222.63016950255243</v>
      </c>
      <c r="V15">
        <f t="shared" si="10"/>
        <v>151.67500466196864</v>
      </c>
      <c r="W15">
        <f t="shared" si="11"/>
        <v>103.33418462830778</v>
      </c>
      <c r="X15">
        <f t="shared" si="12"/>
        <v>256.87116458974839</v>
      </c>
      <c r="Y15">
        <f t="shared" si="13"/>
        <v>175.00294400228947</v>
      </c>
      <c r="Z15">
        <f t="shared" si="14"/>
        <v>119.22720270444374</v>
      </c>
      <c r="AA15">
        <f t="shared" si="15"/>
        <v>81.227924168753106</v>
      </c>
    </row>
    <row r="16" spans="1:27" x14ac:dyDescent="0.2">
      <c r="A16" s="2">
        <v>17000</v>
      </c>
      <c r="B16">
        <v>141.28800000000001</v>
      </c>
      <c r="C16">
        <f t="shared" si="16"/>
        <v>9.0565261418332401</v>
      </c>
      <c r="D16">
        <f t="shared" si="0"/>
        <v>87.913139870747983</v>
      </c>
      <c r="E16">
        <f t="shared" si="1"/>
        <v>129.03983273015706</v>
      </c>
      <c r="F16">
        <f t="shared" si="2"/>
        <v>189.40602571479113</v>
      </c>
      <c r="G16">
        <f t="shared" si="3"/>
        <v>278.01215964136998</v>
      </c>
      <c r="H16">
        <f t="shared" si="17"/>
        <v>101.64169682725766</v>
      </c>
      <c r="I16">
        <f t="shared" si="18"/>
        <v>149.19075323986689</v>
      </c>
      <c r="J16">
        <f t="shared" si="19"/>
        <v>218.98375909747571</v>
      </c>
      <c r="K16">
        <f t="shared" si="20"/>
        <v>321.42666825578431</v>
      </c>
      <c r="L16">
        <f t="shared" si="21"/>
        <v>129.30358584643804</v>
      </c>
      <c r="M16">
        <f t="shared" si="22"/>
        <v>189.79316531709617</v>
      </c>
      <c r="N16">
        <f t="shared" si="23"/>
        <v>278.58040722754549</v>
      </c>
      <c r="O16">
        <f t="shared" si="24"/>
        <v>408.90325613887842</v>
      </c>
      <c r="P16">
        <f t="shared" si="4"/>
        <v>366.8817433161849</v>
      </c>
      <c r="Q16">
        <f t="shared" si="5"/>
        <v>249.95170354589129</v>
      </c>
      <c r="R16">
        <f t="shared" si="6"/>
        <v>170.28880625343726</v>
      </c>
      <c r="S16">
        <f t="shared" si="7"/>
        <v>116.01552269435365</v>
      </c>
      <c r="T16">
        <f t="shared" si="8"/>
        <v>317.32770135661497</v>
      </c>
      <c r="U16">
        <f t="shared" si="9"/>
        <v>216.19118689160652</v>
      </c>
      <c r="V16">
        <f t="shared" si="10"/>
        <v>147.28821054634741</v>
      </c>
      <c r="W16">
        <f t="shared" si="11"/>
        <v>100.3455195276853</v>
      </c>
      <c r="X16">
        <f t="shared" si="12"/>
        <v>249.44185271462155</v>
      </c>
      <c r="Y16">
        <f t="shared" si="13"/>
        <v>169.94145159174641</v>
      </c>
      <c r="Z16">
        <f t="shared" si="14"/>
        <v>115.77887453454207</v>
      </c>
      <c r="AA16">
        <f t="shared" si="15"/>
        <v>78.878623566707631</v>
      </c>
    </row>
    <row r="17" spans="1:27" x14ac:dyDescent="0.2">
      <c r="A17" s="2">
        <v>16000</v>
      </c>
      <c r="B17">
        <v>165.42</v>
      </c>
      <c r="C17">
        <f t="shared" si="16"/>
        <v>9.0579425215795339</v>
      </c>
      <c r="D17">
        <f t="shared" si="0"/>
        <v>81.254304940539726</v>
      </c>
      <c r="E17">
        <f t="shared" si="1"/>
        <v>119.26592467915245</v>
      </c>
      <c r="F17">
        <f t="shared" si="2"/>
        <v>175.0597805246426</v>
      </c>
      <c r="G17">
        <f t="shared" si="3"/>
        <v>256.95458983594244</v>
      </c>
      <c r="H17">
        <f t="shared" si="17"/>
        <v>93.943015126273593</v>
      </c>
      <c r="I17">
        <f t="shared" si="18"/>
        <v>137.89054714555289</v>
      </c>
      <c r="J17">
        <f t="shared" si="19"/>
        <v>202.39719756218727</v>
      </c>
      <c r="K17">
        <f t="shared" si="20"/>
        <v>297.08073852072039</v>
      </c>
      <c r="L17">
        <f t="shared" si="21"/>
        <v>119.50970025321132</v>
      </c>
      <c r="M17">
        <f t="shared" si="22"/>
        <v>175.4175968800418</v>
      </c>
      <c r="N17">
        <f t="shared" si="23"/>
        <v>257.47979645143488</v>
      </c>
      <c r="O17">
        <f t="shared" si="24"/>
        <v>377.93155737966441</v>
      </c>
      <c r="P17">
        <f t="shared" si="4"/>
        <v>355.05913760010833</v>
      </c>
      <c r="Q17">
        <f t="shared" si="5"/>
        <v>241.89711785739604</v>
      </c>
      <c r="R17">
        <f t="shared" si="6"/>
        <v>164.8013230224696</v>
      </c>
      <c r="S17">
        <f t="shared" si="7"/>
        <v>112.27697258454945</v>
      </c>
      <c r="T17">
        <f t="shared" si="8"/>
        <v>307.10195323947596</v>
      </c>
      <c r="U17">
        <f t="shared" si="9"/>
        <v>209.22451927057057</v>
      </c>
      <c r="V17">
        <f t="shared" si="10"/>
        <v>142.54191157770336</v>
      </c>
      <c r="W17">
        <f t="shared" si="11"/>
        <v>97.111928501793685</v>
      </c>
      <c r="X17">
        <f t="shared" si="12"/>
        <v>241.40369674895095</v>
      </c>
      <c r="Y17">
        <f t="shared" si="13"/>
        <v>164.46516171472354</v>
      </c>
      <c r="Z17">
        <f t="shared" si="14"/>
        <v>112.04795030947555</v>
      </c>
      <c r="AA17">
        <f t="shared" si="15"/>
        <v>76.336793991251426</v>
      </c>
    </row>
    <row r="18" spans="1:27" x14ac:dyDescent="0.2">
      <c r="A18" s="2">
        <v>15000</v>
      </c>
      <c r="B18">
        <v>193.67400000000001</v>
      </c>
      <c r="C18">
        <f t="shared" si="16"/>
        <v>9.059359344419649</v>
      </c>
      <c r="D18">
        <f t="shared" si="0"/>
        <v>75.099784327723938</v>
      </c>
      <c r="E18">
        <f t="shared" si="1"/>
        <v>110.23225449538158</v>
      </c>
      <c r="F18">
        <f t="shared" si="2"/>
        <v>161.80006427327169</v>
      </c>
      <c r="G18">
        <f t="shared" si="3"/>
        <v>237.49183865174123</v>
      </c>
      <c r="H18">
        <f t="shared" si="17"/>
        <v>86.827401701879481</v>
      </c>
      <c r="I18">
        <f t="shared" si="18"/>
        <v>127.44617480933294</v>
      </c>
      <c r="J18">
        <f t="shared" si="19"/>
        <v>187.06683783190371</v>
      </c>
      <c r="K18">
        <f t="shared" si="20"/>
        <v>274.57867502717022</v>
      </c>
      <c r="L18">
        <f t="shared" si="21"/>
        <v>110.4575655487416</v>
      </c>
      <c r="M18">
        <f t="shared" si="22"/>
        <v>162.13077821069419</v>
      </c>
      <c r="N18">
        <f t="shared" si="23"/>
        <v>237.97726405264575</v>
      </c>
      <c r="O18">
        <f t="shared" si="24"/>
        <v>349.30553489594701</v>
      </c>
      <c r="P18">
        <f t="shared" si="4"/>
        <v>342.26765891630805</v>
      </c>
      <c r="Q18">
        <f t="shared" si="5"/>
        <v>233.18245176638973</v>
      </c>
      <c r="R18">
        <f t="shared" si="6"/>
        <v>158.86413569995028</v>
      </c>
      <c r="S18">
        <f t="shared" si="7"/>
        <v>108.23204499529128</v>
      </c>
      <c r="T18">
        <f t="shared" si="8"/>
        <v>296.03819604351133</v>
      </c>
      <c r="U18">
        <f t="shared" si="9"/>
        <v>201.68692709235691</v>
      </c>
      <c r="V18">
        <f t="shared" si="10"/>
        <v>137.4066492216395</v>
      </c>
      <c r="W18">
        <f t="shared" si="11"/>
        <v>93.613341838823516</v>
      </c>
      <c r="X18">
        <f t="shared" si="12"/>
        <v>232.70680681104824</v>
      </c>
      <c r="Y18">
        <f t="shared" si="13"/>
        <v>158.54008505137895</v>
      </c>
      <c r="Z18">
        <f t="shared" si="14"/>
        <v>108.01127355293647</v>
      </c>
      <c r="AA18">
        <f t="shared" si="15"/>
        <v>73.586659239816015</v>
      </c>
    </row>
    <row r="19" spans="1:27" x14ac:dyDescent="0.2">
      <c r="A19" s="2">
        <v>14000</v>
      </c>
      <c r="B19">
        <v>226.75299999999999</v>
      </c>
      <c r="C19">
        <f t="shared" si="16"/>
        <v>9.0607766105615379</v>
      </c>
      <c r="D19">
        <f t="shared" si="0"/>
        <v>69.411558933914193</v>
      </c>
      <c r="E19">
        <f t="shared" si="1"/>
        <v>101.88301734576096</v>
      </c>
      <c r="F19">
        <f t="shared" si="2"/>
        <v>149.54496603886153</v>
      </c>
      <c r="G19">
        <f t="shared" si="3"/>
        <v>219.50367637491965</v>
      </c>
      <c r="H19">
        <f t="shared" si="17"/>
        <v>80.250900375539146</v>
      </c>
      <c r="I19">
        <f t="shared" si="18"/>
        <v>117.79311688934177</v>
      </c>
      <c r="J19">
        <f t="shared" si="19"/>
        <v>172.89797773702446</v>
      </c>
      <c r="K19">
        <f t="shared" si="20"/>
        <v>253.78147293305443</v>
      </c>
      <c r="L19">
        <f t="shared" si="21"/>
        <v>102.09126283672688</v>
      </c>
      <c r="M19">
        <f t="shared" si="22"/>
        <v>149.85063096404286</v>
      </c>
      <c r="N19">
        <f t="shared" si="23"/>
        <v>219.9523345718043</v>
      </c>
      <c r="O19">
        <f t="shared" si="24"/>
        <v>322.8483535394364</v>
      </c>
      <c r="P19">
        <f t="shared" si="4"/>
        <v>328.42791488750197</v>
      </c>
      <c r="Q19">
        <f t="shared" si="5"/>
        <v>223.75361629103631</v>
      </c>
      <c r="R19">
        <f t="shared" si="6"/>
        <v>152.44039417436713</v>
      </c>
      <c r="S19">
        <f t="shared" si="7"/>
        <v>103.8556344305545</v>
      </c>
      <c r="T19">
        <f t="shared" si="8"/>
        <v>284.06776077374622</v>
      </c>
      <c r="U19">
        <f t="shared" si="9"/>
        <v>193.53162707437531</v>
      </c>
      <c r="V19">
        <f t="shared" si="10"/>
        <v>131.85055064339656</v>
      </c>
      <c r="W19">
        <f t="shared" si="11"/>
        <v>89.828044995900825</v>
      </c>
      <c r="X19">
        <f t="shared" si="12"/>
        <v>223.29720424964106</v>
      </c>
      <c r="Y19">
        <f t="shared" si="13"/>
        <v>152.12944665696159</v>
      </c>
      <c r="Z19">
        <f t="shared" si="14"/>
        <v>103.64378997902534</v>
      </c>
      <c r="AA19">
        <f t="shared" si="15"/>
        <v>70.611150157133281</v>
      </c>
    </row>
    <row r="20" spans="1:27" x14ac:dyDescent="0.2">
      <c r="A20" s="2">
        <v>13000</v>
      </c>
      <c r="B20">
        <v>265.483</v>
      </c>
      <c r="C20">
        <f t="shared" si="16"/>
        <v>9.0621943202132886</v>
      </c>
      <c r="D20">
        <f t="shared" si="0"/>
        <v>64.154028776394952</v>
      </c>
      <c r="E20">
        <f t="shared" si="1"/>
        <v>94.165959200670429</v>
      </c>
      <c r="F20">
        <f t="shared" si="2"/>
        <v>138.21778680632087</v>
      </c>
      <c r="G20">
        <f t="shared" si="3"/>
        <v>202.87752338322215</v>
      </c>
      <c r="H20">
        <f t="shared" si="17"/>
        <v>74.172351854619507</v>
      </c>
      <c r="I20">
        <f t="shared" si="18"/>
        <v>108.87095934230366</v>
      </c>
      <c r="J20">
        <f t="shared" si="19"/>
        <v>159.80194090846169</v>
      </c>
      <c r="K20">
        <f t="shared" si="20"/>
        <v>234.55897212975853</v>
      </c>
      <c r="L20">
        <f t="shared" si="21"/>
        <v>94.358431282052464</v>
      </c>
      <c r="M20">
        <f t="shared" si="22"/>
        <v>138.5002993547667</v>
      </c>
      <c r="N20">
        <f t="shared" si="23"/>
        <v>203.29219827766022</v>
      </c>
      <c r="O20">
        <f t="shared" si="24"/>
        <v>298.39442999832886</v>
      </c>
      <c r="P20">
        <f t="shared" si="4"/>
        <v>313.45399807041127</v>
      </c>
      <c r="Q20">
        <f t="shared" si="5"/>
        <v>213.55208382077458</v>
      </c>
      <c r="R20">
        <f t="shared" si="6"/>
        <v>145.49022435486998</v>
      </c>
      <c r="S20">
        <f t="shared" si="7"/>
        <v>99.120575196987261</v>
      </c>
      <c r="T20">
        <f t="shared" si="8"/>
        <v>271.11634334718457</v>
      </c>
      <c r="U20">
        <f t="shared" si="9"/>
        <v>184.70799682272465</v>
      </c>
      <c r="V20">
        <f t="shared" si="10"/>
        <v>125.83912747220205</v>
      </c>
      <c r="W20">
        <f t="shared" si="11"/>
        <v>85.732541499886381</v>
      </c>
      <c r="X20">
        <f t="shared" si="12"/>
        <v>213.11648083863517</v>
      </c>
      <c r="Y20">
        <f t="shared" si="13"/>
        <v>145.19345377568757</v>
      </c>
      <c r="Z20">
        <f t="shared" si="14"/>
        <v>98.918389306900551</v>
      </c>
      <c r="AA20">
        <f t="shared" si="15"/>
        <v>67.391796865637986</v>
      </c>
    </row>
    <row r="21" spans="1:27" x14ac:dyDescent="0.2">
      <c r="A21" s="2">
        <v>12000</v>
      </c>
      <c r="B21">
        <v>310.82799999999997</v>
      </c>
      <c r="C21">
        <f t="shared" si="16"/>
        <v>9.0636124735831167</v>
      </c>
      <c r="D21">
        <f t="shared" si="0"/>
        <v>59.294744887376069</v>
      </c>
      <c r="E21">
        <f t="shared" si="1"/>
        <v>87.033451123388303</v>
      </c>
      <c r="F21">
        <f t="shared" si="2"/>
        <v>127.74861632063303</v>
      </c>
      <c r="G21">
        <f t="shared" si="3"/>
        <v>187.51076466793978</v>
      </c>
      <c r="H21">
        <f t="shared" si="17"/>
        <v>68.554239925374517</v>
      </c>
      <c r="I21">
        <f t="shared" si="18"/>
        <v>100.6246354745072</v>
      </c>
      <c r="J21">
        <f t="shared" si="19"/>
        <v>147.69789987314402</v>
      </c>
      <c r="K21">
        <f t="shared" si="20"/>
        <v>216.79253320091698</v>
      </c>
      <c r="L21">
        <f t="shared" si="21"/>
        <v>87.211344596037833</v>
      </c>
      <c r="M21">
        <f t="shared" si="22"/>
        <v>128.00973023361837</v>
      </c>
      <c r="N21">
        <f t="shared" si="23"/>
        <v>187.89403041984767</v>
      </c>
      <c r="O21">
        <f t="shared" si="24"/>
        <v>275.79283702093875</v>
      </c>
      <c r="P21">
        <f t="shared" si="4"/>
        <v>297.25294608226221</v>
      </c>
      <c r="Q21">
        <f t="shared" si="5"/>
        <v>202.51452030760873</v>
      </c>
      <c r="R21">
        <f t="shared" si="6"/>
        <v>137.9704775880374</v>
      </c>
      <c r="S21">
        <f t="shared" si="7"/>
        <v>93.997470684851152</v>
      </c>
      <c r="T21">
        <f t="shared" si="8"/>
        <v>257.103537639031</v>
      </c>
      <c r="U21">
        <f t="shared" si="9"/>
        <v>175.16125670272902</v>
      </c>
      <c r="V21">
        <f t="shared" si="10"/>
        <v>119.33505906385301</v>
      </c>
      <c r="W21">
        <f t="shared" si="11"/>
        <v>81.30140528702556</v>
      </c>
      <c r="X21">
        <f t="shared" si="12"/>
        <v>202.10143171866025</v>
      </c>
      <c r="Y21">
        <f t="shared" si="13"/>
        <v>137.68904576864585</v>
      </c>
      <c r="Z21">
        <f t="shared" si="14"/>
        <v>93.805734889951381</v>
      </c>
      <c r="AA21">
        <f t="shared" si="15"/>
        <v>63.908612694065461</v>
      </c>
    </row>
    <row r="22" spans="1:27" x14ac:dyDescent="0.2">
      <c r="A22" s="2">
        <v>11000</v>
      </c>
      <c r="B22">
        <v>363.92105176595118</v>
      </c>
      <c r="C22">
        <f t="shared" si="16"/>
        <v>9.0650310708793693</v>
      </c>
      <c r="D22">
        <f t="shared" si="0"/>
        <v>54.803294472962172</v>
      </c>
      <c r="E22">
        <f t="shared" si="1"/>
        <v>80.440852894683573</v>
      </c>
      <c r="F22">
        <f t="shared" si="2"/>
        <v>118.07193119779568</v>
      </c>
      <c r="G22">
        <f t="shared" si="3"/>
        <v>173.30722431584715</v>
      </c>
      <c r="H22">
        <f t="shared" si="17"/>
        <v>63.361402517818561</v>
      </c>
      <c r="I22">
        <f t="shared" si="18"/>
        <v>93.002534029250072</v>
      </c>
      <c r="J22">
        <f t="shared" si="19"/>
        <v>136.5100990848396</v>
      </c>
      <c r="K22">
        <f t="shared" si="20"/>
        <v>200.37096135780411</v>
      </c>
      <c r="L22">
        <f t="shared" si="21"/>
        <v>80.605271316332022</v>
      </c>
      <c r="M22">
        <f t="shared" si="22"/>
        <v>118.31326628898297</v>
      </c>
      <c r="N22">
        <f t="shared" si="23"/>
        <v>173.66145850478082</v>
      </c>
      <c r="O22">
        <f t="shared" si="24"/>
        <v>254.90211804604687</v>
      </c>
      <c r="P22">
        <f t="shared" si="4"/>
        <v>279.72416108987767</v>
      </c>
      <c r="Q22">
        <f t="shared" si="5"/>
        <v>190.57238977166583</v>
      </c>
      <c r="R22">
        <f t="shared" si="6"/>
        <v>129.83446121271766</v>
      </c>
      <c r="S22">
        <f t="shared" si="7"/>
        <v>88.454509798580403</v>
      </c>
      <c r="T22">
        <f t="shared" si="8"/>
        <v>241.94233338032257</v>
      </c>
      <c r="U22">
        <f t="shared" si="9"/>
        <v>164.83212776320181</v>
      </c>
      <c r="V22">
        <f t="shared" si="10"/>
        <v>112.29795944901889</v>
      </c>
      <c r="W22">
        <f t="shared" si="11"/>
        <v>76.507121927894104</v>
      </c>
      <c r="X22">
        <f t="shared" si="12"/>
        <v>190.18366070935593</v>
      </c>
      <c r="Y22">
        <f t="shared" si="13"/>
        <v>129.56962521825284</v>
      </c>
      <c r="Z22">
        <f t="shared" si="14"/>
        <v>88.274080520801618</v>
      </c>
      <c r="AA22">
        <f t="shared" si="15"/>
        <v>60.139969369111384</v>
      </c>
    </row>
    <row r="23" spans="1:27" x14ac:dyDescent="0.2">
      <c r="A23" s="2">
        <v>10000</v>
      </c>
      <c r="B23">
        <v>412.70881120912975</v>
      </c>
      <c r="C23">
        <f t="shared" si="16"/>
        <v>9.0664501123105214</v>
      </c>
      <c r="D23">
        <f t="shared" si="0"/>
        <v>51.466232219649477</v>
      </c>
      <c r="E23">
        <f t="shared" si="1"/>
        <v>75.542677768522793</v>
      </c>
      <c r="F23">
        <f t="shared" si="2"/>
        <v>110.88233815297811</v>
      </c>
      <c r="G23">
        <f t="shared" si="3"/>
        <v>162.75426391350967</v>
      </c>
      <c r="H23">
        <f t="shared" si="17"/>
        <v>59.503223065423029</v>
      </c>
      <c r="I23">
        <f t="shared" si="18"/>
        <v>87.339457589118226</v>
      </c>
      <c r="J23">
        <f t="shared" si="19"/>
        <v>128.19777583433245</v>
      </c>
      <c r="K23">
        <f t="shared" si="20"/>
        <v>188.17004573334302</v>
      </c>
      <c r="L23">
        <f t="shared" si="21"/>
        <v>75.69708448350454</v>
      </c>
      <c r="M23">
        <f t="shared" si="22"/>
        <v>111.1089779556623</v>
      </c>
      <c r="N23">
        <f t="shared" si="23"/>
        <v>163.08692820318655</v>
      </c>
      <c r="O23">
        <f t="shared" si="24"/>
        <v>239.38071108317558</v>
      </c>
      <c r="P23">
        <f t="shared" si="4"/>
        <v>260.90409044267255</v>
      </c>
      <c r="Q23">
        <f t="shared" si="5"/>
        <v>177.75052331245402</v>
      </c>
      <c r="R23">
        <f t="shared" si="6"/>
        <v>121.09909233022758</v>
      </c>
      <c r="S23">
        <f t="shared" si="7"/>
        <v>82.503217936672584</v>
      </c>
      <c r="T23">
        <f t="shared" si="8"/>
        <v>225.66425504405655</v>
      </c>
      <c r="U23">
        <f t="shared" si="9"/>
        <v>153.74208721273305</v>
      </c>
      <c r="V23">
        <f t="shared" si="10"/>
        <v>104.74246076727134</v>
      </c>
      <c r="W23">
        <f t="shared" si="11"/>
        <v>71.359660106622755</v>
      </c>
      <c r="X23">
        <f t="shared" si="12"/>
        <v>177.3879482598185</v>
      </c>
      <c r="Y23">
        <f t="shared" si="13"/>
        <v>120.8520747183663</v>
      </c>
      <c r="Z23">
        <f t="shared" si="14"/>
        <v>82.334928088471102</v>
      </c>
      <c r="AA23">
        <f t="shared" si="15"/>
        <v>56.093702976399747</v>
      </c>
    </row>
    <row r="24" spans="1:27" x14ac:dyDescent="0.2">
      <c r="A24" s="2">
        <v>9000</v>
      </c>
      <c r="B24">
        <v>466.34943523858482</v>
      </c>
      <c r="C24">
        <f t="shared" si="16"/>
        <v>9.0678695980851831</v>
      </c>
      <c r="D24">
        <f t="shared" si="0"/>
        <v>48.419746692695711</v>
      </c>
      <c r="E24">
        <f t="shared" si="1"/>
        <v>71.071014222084457</v>
      </c>
      <c r="F24">
        <f t="shared" si="2"/>
        <v>104.31878329751173</v>
      </c>
      <c r="G24">
        <f t="shared" si="3"/>
        <v>153.12020895983821</v>
      </c>
      <c r="H24">
        <f t="shared" si="17"/>
        <v>55.980996936604093</v>
      </c>
      <c r="I24">
        <f t="shared" si="18"/>
        <v>82.169496976076616</v>
      </c>
      <c r="J24">
        <f t="shared" si="19"/>
        <v>120.60925318903482</v>
      </c>
      <c r="K24">
        <f t="shared" si="20"/>
        <v>177.03153226131948</v>
      </c>
      <c r="L24">
        <f t="shared" si="21"/>
        <v>71.21628100584978</v>
      </c>
      <c r="M24">
        <f t="shared" si="22"/>
        <v>104.53200741288151</v>
      </c>
      <c r="N24">
        <f t="shared" si="23"/>
        <v>153.43318156236165</v>
      </c>
      <c r="O24">
        <f t="shared" si="24"/>
        <v>225.21084007660201</v>
      </c>
      <c r="P24">
        <f t="shared" si="4"/>
        <v>240.88126019384356</v>
      </c>
      <c r="Q24">
        <f t="shared" si="5"/>
        <v>164.10923256501053</v>
      </c>
      <c r="R24">
        <f t="shared" si="6"/>
        <v>111.80546046381498</v>
      </c>
      <c r="S24">
        <f t="shared" si="7"/>
        <v>76.171588850576995</v>
      </c>
      <c r="T24">
        <f t="shared" si="8"/>
        <v>208.34587163232382</v>
      </c>
      <c r="U24">
        <f t="shared" si="9"/>
        <v>141.94330050479675</v>
      </c>
      <c r="V24">
        <f t="shared" si="10"/>
        <v>96.704102655563148</v>
      </c>
      <c r="W24">
        <f t="shared" si="11"/>
        <v>65.883232510164689</v>
      </c>
      <c r="X24">
        <f t="shared" si="12"/>
        <v>163.77448298156969</v>
      </c>
      <c r="Y24">
        <f t="shared" si="13"/>
        <v>111.57739997793198</v>
      </c>
      <c r="Z24">
        <f t="shared" si="14"/>
        <v>76.016214242828141</v>
      </c>
      <c r="AA24">
        <f t="shared" si="15"/>
        <v>51.788846387838625</v>
      </c>
    </row>
    <row r="25" spans="1:27" x14ac:dyDescent="0.2">
      <c r="A25" s="2">
        <v>8000</v>
      </c>
      <c r="B25">
        <v>525.16758083437139</v>
      </c>
      <c r="C25">
        <f t="shared" si="16"/>
        <v>9.0692895284120905</v>
      </c>
      <c r="D25">
        <f t="shared" si="0"/>
        <v>45.63134674419242</v>
      </c>
      <c r="E25">
        <f t="shared" si="1"/>
        <v>66.978171406224959</v>
      </c>
      <c r="F25">
        <f t="shared" si="2"/>
        <v>98.31126550067475</v>
      </c>
      <c r="G25">
        <f t="shared" si="3"/>
        <v>144.30231105780655</v>
      </c>
      <c r="H25">
        <f t="shared" si="17"/>
        <v>52.757159150630343</v>
      </c>
      <c r="I25">
        <f t="shared" si="18"/>
        <v>77.437513915719194</v>
      </c>
      <c r="J25">
        <f t="shared" si="19"/>
        <v>113.66359860897774</v>
      </c>
      <c r="K25">
        <f t="shared" si="20"/>
        <v>166.83662730706891</v>
      </c>
      <c r="L25">
        <f t="shared" si="21"/>
        <v>67.115072555718342</v>
      </c>
      <c r="M25">
        <f t="shared" si="22"/>
        <v>98.512210449941293</v>
      </c>
      <c r="N25">
        <f t="shared" si="23"/>
        <v>144.59726017098177</v>
      </c>
      <c r="O25">
        <f t="shared" si="24"/>
        <v>212.24138158567783</v>
      </c>
      <c r="P25">
        <f t="shared" si="4"/>
        <v>219.61622300060691</v>
      </c>
      <c r="Q25">
        <f t="shared" si="5"/>
        <v>149.62164257382506</v>
      </c>
      <c r="R25">
        <f t="shared" si="6"/>
        <v>101.93525605996597</v>
      </c>
      <c r="S25">
        <f t="shared" si="7"/>
        <v>69.447148482438934</v>
      </c>
      <c r="T25">
        <f t="shared" si="8"/>
        <v>189.95306388234218</v>
      </c>
      <c r="U25">
        <f t="shared" si="9"/>
        <v>129.41252263466995</v>
      </c>
      <c r="V25">
        <f t="shared" si="10"/>
        <v>88.167048598081578</v>
      </c>
      <c r="W25">
        <f t="shared" si="11"/>
        <v>60.067049928705757</v>
      </c>
      <c r="X25">
        <f t="shared" si="12"/>
        <v>149.31644473856323</v>
      </c>
      <c r="Y25">
        <f t="shared" si="13"/>
        <v>101.72732879121537</v>
      </c>
      <c r="Z25">
        <f t="shared" si="14"/>
        <v>69.305490370568606</v>
      </c>
      <c r="AA25">
        <f t="shared" si="15"/>
        <v>47.216918527008069</v>
      </c>
    </row>
    <row r="26" spans="1:27" x14ac:dyDescent="0.2">
      <c r="A26" s="2">
        <v>7000</v>
      </c>
      <c r="B26">
        <v>589.49965215498526</v>
      </c>
      <c r="C26">
        <f t="shared" si="16"/>
        <v>9.0707099035001129</v>
      </c>
      <c r="D26">
        <f t="shared" si="0"/>
        <v>43.072935418601411</v>
      </c>
      <c r="E26">
        <f t="shared" si="1"/>
        <v>63.222908313647672</v>
      </c>
      <c r="F26">
        <f t="shared" si="2"/>
        <v>92.799250777547542</v>
      </c>
      <c r="G26">
        <f t="shared" si="3"/>
        <v>136.21171778671845</v>
      </c>
      <c r="H26">
        <f t="shared" si="17"/>
        <v>49.799225118272233</v>
      </c>
      <c r="I26">
        <f t="shared" si="18"/>
        <v>73.095827185800303</v>
      </c>
      <c r="J26">
        <f t="shared" si="19"/>
        <v>107.29082509390172</v>
      </c>
      <c r="K26">
        <f t="shared" si="20"/>
        <v>157.4826032144064</v>
      </c>
      <c r="L26">
        <f t="shared" si="21"/>
        <v>63.352133830569578</v>
      </c>
      <c r="M26">
        <f t="shared" si="22"/>
        <v>92.988929352474841</v>
      </c>
      <c r="N26">
        <f t="shared" si="23"/>
        <v>136.49012999696487</v>
      </c>
      <c r="O26">
        <f t="shared" si="24"/>
        <v>200.34165052027834</v>
      </c>
      <c r="P26">
        <f t="shared" si="4"/>
        <v>197.06939717398541</v>
      </c>
      <c r="Q26">
        <f t="shared" si="5"/>
        <v>134.26078685509373</v>
      </c>
      <c r="R26">
        <f t="shared" si="6"/>
        <v>91.470107208144739</v>
      </c>
      <c r="S26">
        <f t="shared" si="7"/>
        <v>62.317380291385284</v>
      </c>
      <c r="T26">
        <f t="shared" si="8"/>
        <v>170.45159633102909</v>
      </c>
      <c r="U26">
        <f t="shared" si="9"/>
        <v>116.12642943189435</v>
      </c>
      <c r="V26">
        <f t="shared" si="10"/>
        <v>79.11540814444021</v>
      </c>
      <c r="W26">
        <f t="shared" si="11"/>
        <v>53.900286407516511</v>
      </c>
      <c r="X26">
        <f t="shared" si="12"/>
        <v>133.98692205315837</v>
      </c>
      <c r="Y26">
        <f t="shared" si="13"/>
        <v>91.283526722655736</v>
      </c>
      <c r="Z26">
        <f t="shared" si="14"/>
        <v>62.190265462026744</v>
      </c>
      <c r="AA26">
        <f t="shared" si="15"/>
        <v>42.369409433404876</v>
      </c>
    </row>
    <row r="27" spans="1:27" x14ac:dyDescent="0.2">
      <c r="A27" s="2">
        <v>6000</v>
      </c>
      <c r="B27">
        <v>659.69388471754337</v>
      </c>
      <c r="C27">
        <f t="shared" si="16"/>
        <v>9.0721307235582511</v>
      </c>
      <c r="D27">
        <f t="shared" si="0"/>
        <v>40.720118041227522</v>
      </c>
      <c r="E27">
        <f t="shared" si="1"/>
        <v>59.769418183875231</v>
      </c>
      <c r="F27">
        <f t="shared" si="2"/>
        <v>87.730181587932961</v>
      </c>
      <c r="G27">
        <f t="shared" si="3"/>
        <v>128.77128463546089</v>
      </c>
      <c r="H27">
        <f t="shared" si="17"/>
        <v>47.07899068104777</v>
      </c>
      <c r="I27">
        <f t="shared" si="18"/>
        <v>69.103038425413246</v>
      </c>
      <c r="J27">
        <f t="shared" si="19"/>
        <v>101.43016769360072</v>
      </c>
      <c r="K27">
        <f t="shared" si="20"/>
        <v>148.88026854935555</v>
      </c>
      <c r="L27">
        <f t="shared" si="21"/>
        <v>59.891584882101377</v>
      </c>
      <c r="M27">
        <f t="shared" si="22"/>
        <v>87.909499154424992</v>
      </c>
      <c r="N27">
        <f t="shared" si="23"/>
        <v>129.03448884838892</v>
      </c>
      <c r="O27">
        <f t="shared" si="24"/>
        <v>189.3981819088423</v>
      </c>
      <c r="P27">
        <f t="shared" si="4"/>
        <v>173.2010701776573</v>
      </c>
      <c r="Q27">
        <f t="shared" si="5"/>
        <v>117.99960978043875</v>
      </c>
      <c r="R27">
        <f t="shared" si="6"/>
        <v>80.391581264790446</v>
      </c>
      <c r="S27">
        <f t="shared" si="7"/>
        <v>54.769726359932214</v>
      </c>
      <c r="T27">
        <f t="shared" si="8"/>
        <v>149.80712034126753</v>
      </c>
      <c r="U27">
        <f t="shared" si="9"/>
        <v>102.06161962203126</v>
      </c>
      <c r="V27">
        <f t="shared" si="10"/>
        <v>69.533238314325487</v>
      </c>
      <c r="W27">
        <f t="shared" si="11"/>
        <v>47.372080203919452</v>
      </c>
      <c r="X27">
        <f t="shared" si="12"/>
        <v>117.75891448497731</v>
      </c>
      <c r="Y27">
        <f t="shared" si="13"/>
        <v>80.227598727550372</v>
      </c>
      <c r="Z27">
        <f t="shared" si="14"/>
        <v>54.658007215325952</v>
      </c>
      <c r="AA27">
        <f t="shared" si="15"/>
        <v>37.237781014686021</v>
      </c>
    </row>
    <row r="28" spans="1:27" x14ac:dyDescent="0.2">
      <c r="A28" s="2">
        <v>5000</v>
      </c>
      <c r="B28">
        <v>736.11042787007295</v>
      </c>
      <c r="C28">
        <f t="shared" si="16"/>
        <v>9.073551988795634</v>
      </c>
      <c r="D28">
        <f t="shared" si="0"/>
        <v>38.551633855390648</v>
      </c>
      <c r="E28">
        <f t="shared" si="1"/>
        <v>56.586494254303609</v>
      </c>
      <c r="F28">
        <f t="shared" si="2"/>
        <v>83.058252316966275</v>
      </c>
      <c r="G28">
        <f t="shared" si="3"/>
        <v>121.91377764004459</v>
      </c>
      <c r="H28">
        <f t="shared" si="17"/>
        <v>44.571874992590004</v>
      </c>
      <c r="I28">
        <f t="shared" si="18"/>
        <v>65.423067609339725</v>
      </c>
      <c r="J28">
        <f t="shared" si="19"/>
        <v>96.028667767012465</v>
      </c>
      <c r="K28">
        <f t="shared" si="20"/>
        <v>140.95189006072846</v>
      </c>
      <c r="L28">
        <f t="shared" si="21"/>
        <v>56.702155162127298</v>
      </c>
      <c r="M28">
        <f t="shared" si="22"/>
        <v>83.228020615777226</v>
      </c>
      <c r="N28">
        <f t="shared" si="23"/>
        <v>122.16296533728368</v>
      </c>
      <c r="O28">
        <f t="shared" si="24"/>
        <v>179.31208731845445</v>
      </c>
      <c r="P28">
        <f t="shared" si="4"/>
        <v>147.97140195223079</v>
      </c>
      <c r="Q28">
        <f t="shared" si="5"/>
        <v>100.81096884169297</v>
      </c>
      <c r="R28">
        <f t="shared" si="6"/>
        <v>68.681186396285085</v>
      </c>
      <c r="S28">
        <f t="shared" si="7"/>
        <v>46.791588445188893</v>
      </c>
      <c r="T28">
        <f t="shared" si="8"/>
        <v>127.98517697717693</v>
      </c>
      <c r="U28">
        <f t="shared" si="9"/>
        <v>87.194616785545918</v>
      </c>
      <c r="V28">
        <f t="shared" si="10"/>
        <v>59.404544932058798</v>
      </c>
      <c r="W28">
        <f t="shared" si="11"/>
        <v>40.471534696508613</v>
      </c>
      <c r="X28">
        <f t="shared" si="12"/>
        <v>100.60533489107013</v>
      </c>
      <c r="Y28">
        <f t="shared" si="13"/>
        <v>68.541090691875127</v>
      </c>
      <c r="Z28">
        <f t="shared" si="14"/>
        <v>46.696143085438315</v>
      </c>
      <c r="AA28">
        <f t="shared" si="15"/>
        <v>31.813467761379069</v>
      </c>
    </row>
    <row r="29" spans="1:27" x14ac:dyDescent="0.2">
      <c r="A29" s="2">
        <v>4000</v>
      </c>
      <c r="B29">
        <v>819.12142563499026</v>
      </c>
      <c r="C29">
        <f t="shared" si="16"/>
        <v>9.0749736994215251</v>
      </c>
      <c r="D29">
        <f t="shared" si="0"/>
        <v>36.548886668036957</v>
      </c>
      <c r="E29">
        <f t="shared" si="1"/>
        <v>53.646840836886497</v>
      </c>
      <c r="F29">
        <f t="shared" si="2"/>
        <v>78.743398066215562</v>
      </c>
      <c r="G29">
        <f t="shared" si="3"/>
        <v>115.58038912052996</v>
      </c>
      <c r="H29">
        <f t="shared" si="17"/>
        <v>42.256377869657875</v>
      </c>
      <c r="I29">
        <f t="shared" si="18"/>
        <v>62.024356542147579</v>
      </c>
      <c r="J29">
        <f t="shared" si="19"/>
        <v>91.040003862465298</v>
      </c>
      <c r="K29">
        <f t="shared" si="20"/>
        <v>133.62947663383713</v>
      </c>
      <c r="L29">
        <f t="shared" si="21"/>
        <v>53.75649319112464</v>
      </c>
      <c r="M29">
        <f t="shared" si="22"/>
        <v>78.90434694678288</v>
      </c>
      <c r="N29">
        <f t="shared" si="23"/>
        <v>115.81663158277225</v>
      </c>
      <c r="O29">
        <f t="shared" si="24"/>
        <v>169.9968717848503</v>
      </c>
      <c r="P29">
        <f t="shared" si="4"/>
        <v>121.34042807800711</v>
      </c>
      <c r="Q29">
        <f t="shared" si="5"/>
        <v>82.667636805648627</v>
      </c>
      <c r="R29">
        <f t="shared" si="6"/>
        <v>56.32037304695546</v>
      </c>
      <c r="S29">
        <f t="shared" si="7"/>
        <v>38.370328978987921</v>
      </c>
      <c r="T29">
        <f t="shared" si="8"/>
        <v>104.95119973968744</v>
      </c>
      <c r="U29">
        <f t="shared" si="9"/>
        <v>71.501871221518286</v>
      </c>
      <c r="V29">
        <f t="shared" si="10"/>
        <v>48.713283896318138</v>
      </c>
      <c r="W29">
        <f t="shared" si="11"/>
        <v>33.187719250194192</v>
      </c>
      <c r="X29">
        <f t="shared" si="12"/>
        <v>82.499011576268146</v>
      </c>
      <c r="Y29">
        <f t="shared" si="13"/>
        <v>56.205490897291952</v>
      </c>
      <c r="Z29">
        <f t="shared" si="14"/>
        <v>38.292061282274929</v>
      </c>
      <c r="AA29">
        <f t="shared" si="15"/>
        <v>26.087877426868012</v>
      </c>
    </row>
    <row r="30" spans="1:27" x14ac:dyDescent="0.2">
      <c r="A30" s="2">
        <v>3000</v>
      </c>
      <c r="B30">
        <v>909.1110959972417</v>
      </c>
      <c r="C30">
        <f t="shared" si="16"/>
        <v>9.0763958556453179</v>
      </c>
      <c r="D30">
        <f t="shared" si="0"/>
        <v>34.695555306812416</v>
      </c>
      <c r="E30">
        <f t="shared" si="1"/>
        <v>50.926501542924541</v>
      </c>
      <c r="F30">
        <f t="shared" si="2"/>
        <v>74.75045539600471</v>
      </c>
      <c r="G30">
        <f t="shared" si="3"/>
        <v>109.71950580976839</v>
      </c>
      <c r="H30">
        <f t="shared" si="17"/>
        <v>40.113629418004479</v>
      </c>
      <c r="I30">
        <f t="shared" si="18"/>
        <v>58.879207794296299</v>
      </c>
      <c r="J30">
        <f t="shared" si="19"/>
        <v>86.423521401130373</v>
      </c>
      <c r="K30">
        <f t="shared" si="20"/>
        <v>126.85335504964404</v>
      </c>
      <c r="L30">
        <f t="shared" si="21"/>
        <v>51.030593614334165</v>
      </c>
      <c r="M30">
        <f t="shared" si="22"/>
        <v>74.903242834867427</v>
      </c>
      <c r="N30">
        <f t="shared" si="23"/>
        <v>109.94376882190858</v>
      </c>
      <c r="O30">
        <f t="shared" si="24"/>
        <v>161.37662196300116</v>
      </c>
      <c r="P30">
        <f t="shared" si="4"/>
        <v>93.268062788009644</v>
      </c>
      <c r="Q30">
        <f t="shared" si="5"/>
        <v>63.542303766794539</v>
      </c>
      <c r="R30">
        <f t="shared" si="6"/>
        <v>43.290535337576017</v>
      </c>
      <c r="S30">
        <f t="shared" si="7"/>
        <v>29.4932720206669</v>
      </c>
      <c r="T30">
        <f t="shared" si="8"/>
        <v>80.67051717260496</v>
      </c>
      <c r="U30">
        <f t="shared" si="9"/>
        <v>54.959761723120792</v>
      </c>
      <c r="V30">
        <f t="shared" si="10"/>
        <v>37.443362389747719</v>
      </c>
      <c r="W30">
        <f t="shared" si="11"/>
        <v>25.509670040293685</v>
      </c>
      <c r="X30">
        <f t="shared" si="12"/>
        <v>63.41269034173402</v>
      </c>
      <c r="Y30">
        <f t="shared" si="13"/>
        <v>43.202231416799101</v>
      </c>
      <c r="Z30">
        <f t="shared" si="14"/>
        <v>29.433111721524</v>
      </c>
      <c r="AA30">
        <f t="shared" si="15"/>
        <v>20.05239167518674</v>
      </c>
    </row>
    <row r="31" spans="1:27" x14ac:dyDescent="0.2">
      <c r="A31" s="2">
        <v>2000</v>
      </c>
      <c r="B31">
        <v>1006.4758087054789</v>
      </c>
      <c r="C31">
        <f t="shared" si="16"/>
        <v>9.0778184576765355</v>
      </c>
      <c r="D31">
        <f t="shared" si="0"/>
        <v>32.977268774156158</v>
      </c>
      <c r="E31">
        <f t="shared" si="1"/>
        <v>48.404382470821837</v>
      </c>
      <c r="F31">
        <f t="shared" si="2"/>
        <v>71.048462455379891</v>
      </c>
      <c r="G31">
        <f t="shared" si="3"/>
        <v>104.28568157679501</v>
      </c>
      <c r="H31">
        <f t="shared" si="17"/>
        <v>38.127014458382043</v>
      </c>
      <c r="I31">
        <f t="shared" si="18"/>
        <v>55.963233430670996</v>
      </c>
      <c r="J31">
        <f t="shared" si="19"/>
        <v>82.143423514957192</v>
      </c>
      <c r="K31">
        <f t="shared" si="20"/>
        <v>120.57098228816044</v>
      </c>
      <c r="L31">
        <f t="shared" si="21"/>
        <v>48.503319414928335</v>
      </c>
      <c r="M31">
        <f t="shared" si="22"/>
        <v>71.193683144085853</v>
      </c>
      <c r="N31">
        <f t="shared" si="23"/>
        <v>104.49883803335118</v>
      </c>
      <c r="O31">
        <f t="shared" si="24"/>
        <v>153.38449519769929</v>
      </c>
      <c r="P31">
        <f>($A31-$A32)/AVERAGE(D31:D32)+P32</f>
        <v>63.714101841927977</v>
      </c>
      <c r="Q31">
        <f t="shared" si="5"/>
        <v>43.407579105296307</v>
      </c>
      <c r="R31">
        <f t="shared" si="6"/>
        <v>29.573012399315012</v>
      </c>
      <c r="S31">
        <f t="shared" si="7"/>
        <v>20.147704165868383</v>
      </c>
      <c r="T31">
        <f t="shared" si="8"/>
        <v>55.108355348376776</v>
      </c>
      <c r="U31">
        <f t="shared" si="9"/>
        <v>37.544597271137775</v>
      </c>
      <c r="V31">
        <f t="shared" si="10"/>
        <v>25.578640032730462</v>
      </c>
      <c r="W31">
        <f t="shared" si="11"/>
        <v>17.426390838581881</v>
      </c>
      <c r="X31">
        <f t="shared" si="12"/>
        <v>43.319036438948046</v>
      </c>
      <c r="Y31">
        <f t="shared" si="13"/>
        <v>29.512689445956262</v>
      </c>
      <c r="Z31">
        <f t="shared" si="14"/>
        <v>20.106606931597057</v>
      </c>
      <c r="AA31">
        <f t="shared" si="15"/>
        <v>13.698366698909556</v>
      </c>
    </row>
    <row r="32" spans="1:27" x14ac:dyDescent="0.2">
      <c r="A32" s="2">
        <v>1000</v>
      </c>
      <c r="B32">
        <v>1111.6241616500438</v>
      </c>
      <c r="C32">
        <f t="shared" si="16"/>
        <v>9.0792415057248341</v>
      </c>
      <c r="D32">
        <f t="shared" si="0"/>
        <v>31.381334125145909</v>
      </c>
      <c r="E32">
        <f t="shared" si="1"/>
        <v>46.061852782321111</v>
      </c>
      <c r="F32">
        <f t="shared" si="2"/>
        <v>67.610072703700226</v>
      </c>
      <c r="G32">
        <f t="shared" si="3"/>
        <v>99.238776881203961</v>
      </c>
      <c r="H32">
        <f t="shared" si="17"/>
        <v>36.281857909664687</v>
      </c>
      <c r="I32">
        <f t="shared" si="18"/>
        <v>53.254893212615997</v>
      </c>
      <c r="J32">
        <f t="shared" si="19"/>
        <v>78.168093214754123</v>
      </c>
      <c r="K32">
        <f t="shared" si="20"/>
        <v>114.73595059961514</v>
      </c>
      <c r="L32">
        <f t="shared" si="21"/>
        <v>46.156001673837558</v>
      </c>
      <c r="M32">
        <f t="shared" si="22"/>
        <v>67.748265438379846</v>
      </c>
      <c r="N32">
        <f t="shared" si="23"/>
        <v>99.441617632811727</v>
      </c>
      <c r="O32">
        <f t="shared" si="24"/>
        <v>145.96145382385473</v>
      </c>
      <c r="P32">
        <f t="shared" ref="P32" si="25">($A32-$A33)/AVERAGE(D32:D33)</f>
        <v>32.638225270628311</v>
      </c>
      <c r="Q32">
        <f t="shared" ref="Q32:Q33" si="26">($A32-$A33)/AVERAGE(E32:E33)</f>
        <v>22.235993356795131</v>
      </c>
      <c r="R32">
        <f t="shared" ref="R32:R33" si="27">($A32-$A33)/AVERAGE(F32:F33)</f>
        <v>15.149089647603834</v>
      </c>
      <c r="S32">
        <f t="shared" ref="S32:S33" si="28">($A32-$A33)/AVERAGE(G32:G33)</f>
        <v>10.320875414410304</v>
      </c>
      <c r="T32">
        <f t="shared" ref="T32:T33" si="29">($A32-$A33)/AVERAGE(H32:H33)</f>
        <v>28.229840241906004</v>
      </c>
      <c r="U32">
        <f t="shared" ref="U32:U33" si="30">($A32-$A33)/AVERAGE(I32:I33)</f>
        <v>19.232618651213986</v>
      </c>
      <c r="V32">
        <f t="shared" ref="V32:V33" si="31">($A32-$A33)/AVERAGE(J32:J33)</f>
        <v>13.102929985198172</v>
      </c>
      <c r="W32">
        <f t="shared" ref="W32:W33" si="32">($A32-$A33)/AVERAGE(K32:K33)</f>
        <v>8.926853763939647</v>
      </c>
      <c r="X32">
        <f t="shared" ref="X32:X33" si="33">($A32-$A33)/AVERAGE(L32:L33)</f>
        <v>22.190636435693019</v>
      </c>
      <c r="Y32">
        <f t="shared" ref="Y32:Y33" si="34">($A32-$A33)/AVERAGE(M32:M33)</f>
        <v>15.118188574155493</v>
      </c>
      <c r="Z32">
        <f t="shared" ref="Z32:AA33" si="35">($A32-$A33)/AVERAGE(N32:N33)</f>
        <v>10.29982291972906</v>
      </c>
      <c r="AA32">
        <f t="shared" si="35"/>
        <v>7.017133809213786</v>
      </c>
    </row>
    <row r="33" spans="1:27" x14ac:dyDescent="0.2">
      <c r="A33" s="2">
        <v>0</v>
      </c>
      <c r="B33">
        <v>1224.977055877323</v>
      </c>
      <c r="C33">
        <f t="shared" si="16"/>
        <v>9.0806649999999998</v>
      </c>
      <c r="D33">
        <f t="shared" si="0"/>
        <v>29.896507528819075</v>
      </c>
      <c r="E33">
        <f t="shared" si="1"/>
        <v>43.88240866389922</v>
      </c>
      <c r="F33">
        <f t="shared" si="2"/>
        <v>64.411061669634506</v>
      </c>
      <c r="G33">
        <f t="shared" si="3"/>
        <v>94.543234788808263</v>
      </c>
      <c r="H33">
        <f t="shared" si="17"/>
        <v>34.565160098998525</v>
      </c>
      <c r="I33">
        <f t="shared" si="18"/>
        <v>50.735106083385084</v>
      </c>
      <c r="J33">
        <f t="shared" si="19"/>
        <v>74.469523124439903</v>
      </c>
      <c r="K33">
        <f t="shared" si="20"/>
        <v>109.30715046238204</v>
      </c>
      <c r="L33">
        <f t="shared" si="21"/>
        <v>43.972102844294056</v>
      </c>
      <c r="M33">
        <f t="shared" si="22"/>
        <v>64.542715732406393</v>
      </c>
      <c r="N33">
        <f t="shared" si="23"/>
        <v>94.736478008915142</v>
      </c>
      <c r="O33">
        <f t="shared" si="24"/>
        <v>139.05520032258863</v>
      </c>
      <c r="P33">
        <f>($A33-$A34)/AVERAGE(D33:D34)</f>
        <v>0</v>
      </c>
      <c r="Q33">
        <f t="shared" si="26"/>
        <v>0</v>
      </c>
      <c r="R33">
        <f t="shared" si="27"/>
        <v>0</v>
      </c>
      <c r="S33">
        <f t="shared" si="28"/>
        <v>0</v>
      </c>
      <c r="T33">
        <f t="shared" si="29"/>
        <v>0</v>
      </c>
      <c r="U33">
        <f t="shared" si="30"/>
        <v>0</v>
      </c>
      <c r="V33">
        <f t="shared" si="31"/>
        <v>0</v>
      </c>
      <c r="W33">
        <f t="shared" si="32"/>
        <v>0</v>
      </c>
      <c r="X33">
        <f t="shared" si="33"/>
        <v>0</v>
      </c>
      <c r="Y33">
        <f t="shared" si="34"/>
        <v>0</v>
      </c>
      <c r="Z33">
        <f t="shared" si="35"/>
        <v>0</v>
      </c>
      <c r="AA33">
        <f>($A33-$A34)/AVERAGE(O33:O34)</f>
        <v>0</v>
      </c>
    </row>
  </sheetData>
  <mergeCells count="3">
    <mergeCell ref="D1:G1"/>
    <mergeCell ref="H1:K1"/>
    <mergeCell ref="L1:O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3"/>
  <sheetViews>
    <sheetView topLeftCell="A3" workbookViewId="0">
      <selection activeCell="A3" sqref="A3"/>
    </sheetView>
  </sheetViews>
  <sheetFormatPr defaultRowHeight="12.75" x14ac:dyDescent="0.2"/>
  <sheetData>
    <row r="1" spans="1:27" x14ac:dyDescent="0.2">
      <c r="A1">
        <v>101325</v>
      </c>
      <c r="B1">
        <v>288.14999999999998</v>
      </c>
      <c r="C1">
        <f>28.9644/8.31447</f>
        <v>3.483613507535658</v>
      </c>
      <c r="D1" s="6" t="s">
        <v>21</v>
      </c>
      <c r="E1" s="6"/>
      <c r="F1" s="6"/>
      <c r="G1" s="6"/>
      <c r="H1" s="6" t="s">
        <v>22</v>
      </c>
      <c r="I1" s="6"/>
      <c r="J1" s="6"/>
      <c r="K1" s="6"/>
      <c r="L1" s="6" t="s">
        <v>23</v>
      </c>
      <c r="M1" s="6"/>
      <c r="N1" s="6"/>
      <c r="O1" s="6"/>
    </row>
    <row r="2" spans="1:27" x14ac:dyDescent="0.2">
      <c r="A2" s="1" t="s">
        <v>18</v>
      </c>
      <c r="B2" t="s">
        <v>20</v>
      </c>
      <c r="C2" t="s">
        <v>19</v>
      </c>
      <c r="D2">
        <v>10</v>
      </c>
      <c r="E2">
        <v>100</v>
      </c>
      <c r="F2">
        <v>1000</v>
      </c>
      <c r="G2">
        <v>10000</v>
      </c>
      <c r="H2">
        <v>10</v>
      </c>
      <c r="I2">
        <v>100</v>
      </c>
      <c r="J2">
        <v>1000</v>
      </c>
      <c r="K2">
        <v>10000</v>
      </c>
      <c r="L2">
        <v>10</v>
      </c>
      <c r="M2">
        <v>100</v>
      </c>
      <c r="N2">
        <v>1000</v>
      </c>
      <c r="O2">
        <v>10000</v>
      </c>
      <c r="P2" s="6" t="s">
        <v>24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">
      <c r="A3" s="2">
        <v>30000</v>
      </c>
      <c r="B3">
        <v>18.012</v>
      </c>
      <c r="C3">
        <f>9.080665*6378.137/(6378.137+A3/1000)</f>
        <v>9.0381534322853891</v>
      </c>
      <c r="D3">
        <f>SQRT((2.5*D$2*$C3)/($B3*2.414*(0.01*(D$2/2.2)^0.33333)^2))</f>
        <v>137.61634191255578</v>
      </c>
      <c r="E3">
        <f t="shared" ref="E3:G18" si="0">SQRT((2.5*E$2*$C3)/($B3*2.414*(0.01*(E$2/2.2)^0.33333)^2))</f>
        <v>201.99471623286951</v>
      </c>
      <c r="F3">
        <f t="shared" si="0"/>
        <v>296.48997218603438</v>
      </c>
      <c r="G3">
        <f t="shared" si="0"/>
        <v>435.19110423429464</v>
      </c>
      <c r="H3">
        <f>SQRT((2.5*H$2*$C3)/($B3*2.414*(0.01*(H$2/3.4)^0.33333)^2))</f>
        <v>159.10657409935618</v>
      </c>
      <c r="I3">
        <f t="shared" ref="I3:K18" si="1">SQRT((2.5*I$2*$C3)/($B3*2.414*(0.01*(I$2/3.4)^0.33333)^2))</f>
        <v>233.53830540274819</v>
      </c>
      <c r="J3">
        <f t="shared" si="1"/>
        <v>342.78998463211826</v>
      </c>
      <c r="K3">
        <f t="shared" si="1"/>
        <v>503.15075020110663</v>
      </c>
      <c r="L3">
        <f>SQRT((2.5*L$2*$C3)/($B3*2.414*(0.01*(L$2/7)^0.33333)^2))</f>
        <v>202.4075866989225</v>
      </c>
      <c r="M3">
        <f t="shared" ref="M3:O18" si="2">SQRT((2.5*M$2*$C3)/($B3*2.414*(0.01*(M$2/7)^0.33333)^2))</f>
        <v>297.09598780505371</v>
      </c>
      <c r="N3">
        <f t="shared" si="2"/>
        <v>436.08062034332096</v>
      </c>
      <c r="O3">
        <f t="shared" si="2"/>
        <v>640.08372796941808</v>
      </c>
      <c r="P3">
        <f t="shared" ref="P3:AA24" si="3">($A3-$A4)/AVERAGE(D3:D4)+P4</f>
        <v>820.43115973443628</v>
      </c>
      <c r="Q3">
        <f t="shared" si="3"/>
        <v>558.9489522268824</v>
      </c>
      <c r="R3">
        <f t="shared" si="3"/>
        <v>380.8045653661639</v>
      </c>
      <c r="S3">
        <f t="shared" si="3"/>
        <v>259.43713898376029</v>
      </c>
      <c r="T3">
        <f t="shared" si="3"/>
        <v>709.61703268919598</v>
      </c>
      <c r="U3">
        <f t="shared" si="3"/>
        <v>483.45274578840127</v>
      </c>
      <c r="V3">
        <f t="shared" si="3"/>
        <v>329.36999345210751</v>
      </c>
      <c r="W3">
        <f t="shared" si="3"/>
        <v>224.39544201931818</v>
      </c>
      <c r="X3">
        <f t="shared" si="3"/>
        <v>557.80880961578055</v>
      </c>
      <c r="Y3">
        <f t="shared" si="3"/>
        <v>380.02780120953321</v>
      </c>
      <c r="Z3">
        <f t="shared" si="3"/>
        <v>258.90793978608895</v>
      </c>
      <c r="AA3">
        <f t="shared" si="3"/>
        <v>176.39057213952987</v>
      </c>
    </row>
    <row r="4" spans="1:27" x14ac:dyDescent="0.2">
      <c r="A4" s="2">
        <v>29000</v>
      </c>
      <c r="B4">
        <v>21.042000000000002</v>
      </c>
      <c r="C4">
        <f t="shared" ref="C4:C33" si="4">9.080665*6378.137/(6378.137+A4/1000)</f>
        <v>9.0395640706769651</v>
      </c>
      <c r="D4">
        <f t="shared" ref="D4:G33" si="5">SQRT((2.5*D$2*$C4)/($B4*2.414*(0.01*(D$2/2.2)^0.33333)^2))</f>
        <v>127.33311372440673</v>
      </c>
      <c r="E4">
        <f t="shared" si="0"/>
        <v>186.90088558052673</v>
      </c>
      <c r="F4">
        <f t="shared" si="0"/>
        <v>274.33508856455086</v>
      </c>
      <c r="G4">
        <f t="shared" si="0"/>
        <v>402.67193268752129</v>
      </c>
      <c r="H4">
        <f t="shared" ref="H4:K33" si="6">SQRT((2.5*H$2*$C4)/($B4*2.414*(0.01*(H$2/3.4)^0.33333)^2))</f>
        <v>147.21751219755126</v>
      </c>
      <c r="I4">
        <f t="shared" si="1"/>
        <v>216.08741511054666</v>
      </c>
      <c r="J4">
        <f t="shared" si="1"/>
        <v>317.17538404330134</v>
      </c>
      <c r="K4">
        <f t="shared" si="1"/>
        <v>465.55336964695681</v>
      </c>
      <c r="L4">
        <f t="shared" ref="L4:O33" si="7">SQRT((2.5*L$2*$C4)/($B4*2.414*(0.01*(L$2/7)^0.33333)^2))</f>
        <v>187.28290475991159</v>
      </c>
      <c r="M4">
        <f t="shared" si="2"/>
        <v>274.89582034002842</v>
      </c>
      <c r="N4">
        <f t="shared" si="2"/>
        <v>403.49498069400232</v>
      </c>
      <c r="O4">
        <f t="shared" si="2"/>
        <v>592.25418285323508</v>
      </c>
      <c r="P4">
        <f t="shared" si="3"/>
        <v>812.88255015080142</v>
      </c>
      <c r="Q4">
        <f t="shared" si="3"/>
        <v>553.80618385749449</v>
      </c>
      <c r="R4">
        <f t="shared" si="3"/>
        <v>377.30086495509545</v>
      </c>
      <c r="S4">
        <f t="shared" si="3"/>
        <v>257.05011400250834</v>
      </c>
      <c r="T4">
        <f t="shared" si="3"/>
        <v>703.0879999115989</v>
      </c>
      <c r="U4">
        <f t="shared" si="3"/>
        <v>479.00460167930362</v>
      </c>
      <c r="V4">
        <f t="shared" si="3"/>
        <v>326.33953140829743</v>
      </c>
      <c r="W4">
        <f t="shared" si="3"/>
        <v>222.33082810984737</v>
      </c>
      <c r="X4">
        <f t="shared" si="3"/>
        <v>552.67653145186421</v>
      </c>
      <c r="Y4">
        <f t="shared" si="3"/>
        <v>376.53124763740107</v>
      </c>
      <c r="Z4">
        <f t="shared" si="3"/>
        <v>256.52578385215168</v>
      </c>
      <c r="AA4">
        <f t="shared" si="3"/>
        <v>174.76764065098635</v>
      </c>
    </row>
    <row r="5" spans="1:27" x14ac:dyDescent="0.2">
      <c r="A5" s="2">
        <v>28000</v>
      </c>
      <c r="B5">
        <v>24.599</v>
      </c>
      <c r="C5">
        <f t="shared" si="4"/>
        <v>9.040975149470734</v>
      </c>
      <c r="D5">
        <f t="shared" si="5"/>
        <v>117.77687724007581</v>
      </c>
      <c r="E5">
        <f t="shared" si="0"/>
        <v>172.87414100877251</v>
      </c>
      <c r="F5">
        <f t="shared" si="0"/>
        <v>253.74648513224344</v>
      </c>
      <c r="G5">
        <f t="shared" si="0"/>
        <v>372.45176370074063</v>
      </c>
      <c r="H5">
        <f t="shared" si="6"/>
        <v>136.168969363363</v>
      </c>
      <c r="I5">
        <f t="shared" si="1"/>
        <v>199.87024755935093</v>
      </c>
      <c r="J5">
        <f t="shared" si="1"/>
        <v>293.37165468907841</v>
      </c>
      <c r="K5">
        <f t="shared" si="1"/>
        <v>430.61400496564926</v>
      </c>
      <c r="L5">
        <f t="shared" si="7"/>
        <v>173.22748998986427</v>
      </c>
      <c r="M5">
        <f t="shared" si="2"/>
        <v>254.26513448867058</v>
      </c>
      <c r="N5">
        <f t="shared" si="2"/>
        <v>373.21304268926679</v>
      </c>
      <c r="O5">
        <f t="shared" si="2"/>
        <v>547.80603527687651</v>
      </c>
      <c r="P5">
        <f t="shared" si="3"/>
        <v>804.72294803858154</v>
      </c>
      <c r="Q5">
        <f t="shared" si="3"/>
        <v>548.2471543190627</v>
      </c>
      <c r="R5">
        <f t="shared" si="3"/>
        <v>373.51357128756763</v>
      </c>
      <c r="S5">
        <f t="shared" si="3"/>
        <v>254.46988066772693</v>
      </c>
      <c r="T5">
        <f t="shared" si="3"/>
        <v>696.03050024194692</v>
      </c>
      <c r="U5">
        <f t="shared" si="3"/>
        <v>474.19642003129007</v>
      </c>
      <c r="V5">
        <f t="shared" si="3"/>
        <v>323.06378052732941</v>
      </c>
      <c r="W5">
        <f t="shared" si="3"/>
        <v>220.09910214362978</v>
      </c>
      <c r="X5">
        <f t="shared" si="3"/>
        <v>547.12884120734805</v>
      </c>
      <c r="Y5">
        <f t="shared" si="3"/>
        <v>372.75167928159249</v>
      </c>
      <c r="Z5">
        <f t="shared" si="3"/>
        <v>253.95081367057921</v>
      </c>
      <c r="AA5">
        <f t="shared" si="3"/>
        <v>173.01334735297061</v>
      </c>
    </row>
    <row r="6" spans="1:27" x14ac:dyDescent="0.2">
      <c r="A6" s="2">
        <v>27000</v>
      </c>
      <c r="B6">
        <v>28.777000000000001</v>
      </c>
      <c r="C6">
        <f t="shared" si="4"/>
        <v>9.0423866688729682</v>
      </c>
      <c r="D6">
        <f t="shared" si="5"/>
        <v>108.90050718592643</v>
      </c>
      <c r="E6">
        <f t="shared" si="0"/>
        <v>159.84531154457164</v>
      </c>
      <c r="F6">
        <f t="shared" si="0"/>
        <v>234.6226320062828</v>
      </c>
      <c r="G6">
        <f t="shared" si="0"/>
        <v>344.38157064247673</v>
      </c>
      <c r="H6">
        <f t="shared" si="6"/>
        <v>125.90646121842755</v>
      </c>
      <c r="I6">
        <f t="shared" si="1"/>
        <v>184.80683000469048</v>
      </c>
      <c r="J6">
        <f t="shared" si="1"/>
        <v>271.26141173272754</v>
      </c>
      <c r="K6">
        <f t="shared" si="1"/>
        <v>398.16035745737747</v>
      </c>
      <c r="L6">
        <f t="shared" si="7"/>
        <v>160.17203003258257</v>
      </c>
      <c r="M6">
        <f t="shared" si="2"/>
        <v>235.10219284445512</v>
      </c>
      <c r="N6">
        <f t="shared" si="2"/>
        <v>345.08547509217186</v>
      </c>
      <c r="O6">
        <f t="shared" si="2"/>
        <v>506.52009527778642</v>
      </c>
      <c r="P6">
        <f t="shared" si="3"/>
        <v>795.89983582090508</v>
      </c>
      <c r="Q6">
        <f t="shared" si="3"/>
        <v>542.23608407759752</v>
      </c>
      <c r="R6">
        <f t="shared" si="3"/>
        <v>369.41830823793322</v>
      </c>
      <c r="S6">
        <f t="shared" si="3"/>
        <v>251.67983184580314</v>
      </c>
      <c r="T6">
        <f t="shared" si="3"/>
        <v>688.39910955583753</v>
      </c>
      <c r="U6">
        <f t="shared" si="3"/>
        <v>468.99725398618818</v>
      </c>
      <c r="V6">
        <f t="shared" si="3"/>
        <v>319.52165712199218</v>
      </c>
      <c r="W6">
        <f t="shared" si="3"/>
        <v>217.68590008203034</v>
      </c>
      <c r="X6">
        <f t="shared" si="3"/>
        <v>541.13003233124243</v>
      </c>
      <c r="Y6">
        <f t="shared" si="3"/>
        <v>368.6647697388176</v>
      </c>
      <c r="Z6">
        <f t="shared" si="3"/>
        <v>251.16645598294639</v>
      </c>
      <c r="AA6">
        <f t="shared" si="3"/>
        <v>171.11640110262221</v>
      </c>
    </row>
    <row r="7" spans="1:27" x14ac:dyDescent="0.2">
      <c r="A7" s="2">
        <v>26000</v>
      </c>
      <c r="B7">
        <v>33.688000000000002</v>
      </c>
      <c r="C7">
        <f t="shared" si="4"/>
        <v>9.0437986290900714</v>
      </c>
      <c r="D7">
        <f t="shared" si="5"/>
        <v>100.65815164041267</v>
      </c>
      <c r="E7">
        <f t="shared" si="0"/>
        <v>147.74709525450061</v>
      </c>
      <c r="F7">
        <f t="shared" si="0"/>
        <v>216.86474269986883</v>
      </c>
      <c r="G7">
        <f t="shared" si="0"/>
        <v>318.31635366684276</v>
      </c>
      <c r="H7">
        <f t="shared" si="6"/>
        <v>116.37697558372858</v>
      </c>
      <c r="I7">
        <f t="shared" si="1"/>
        <v>170.81935061180451</v>
      </c>
      <c r="J7">
        <f t="shared" si="1"/>
        <v>250.73044214356037</v>
      </c>
      <c r="K7">
        <f t="shared" si="1"/>
        <v>368.0247840326407</v>
      </c>
      <c r="L7">
        <f t="shared" si="7"/>
        <v>148.04908539173459</v>
      </c>
      <c r="M7">
        <f t="shared" si="2"/>
        <v>217.30800700429617</v>
      </c>
      <c r="N7">
        <f t="shared" si="2"/>
        <v>318.96698168197969</v>
      </c>
      <c r="O7">
        <f t="shared" si="2"/>
        <v>468.18309553269654</v>
      </c>
      <c r="P7">
        <f t="shared" si="3"/>
        <v>786.35596867076549</v>
      </c>
      <c r="Q7">
        <f t="shared" si="3"/>
        <v>535.73397298580312</v>
      </c>
      <c r="R7">
        <f t="shared" si="3"/>
        <v>364.98850551908271</v>
      </c>
      <c r="S7">
        <f t="shared" si="3"/>
        <v>248.66186554979512</v>
      </c>
      <c r="T7">
        <f t="shared" si="3"/>
        <v>680.14431497970986</v>
      </c>
      <c r="U7">
        <f t="shared" si="3"/>
        <v>463.37337107483194</v>
      </c>
      <c r="V7">
        <f t="shared" si="3"/>
        <v>315.69017970496338</v>
      </c>
      <c r="W7">
        <f t="shared" si="3"/>
        <v>215.07556494017345</v>
      </c>
      <c r="X7">
        <f t="shared" si="3"/>
        <v>534.64118422864999</v>
      </c>
      <c r="Y7">
        <f t="shared" si="3"/>
        <v>364.24400291996903</v>
      </c>
      <c r="Z7">
        <f t="shared" si="3"/>
        <v>248.154645726697</v>
      </c>
      <c r="AA7">
        <f t="shared" si="3"/>
        <v>169.06449441055838</v>
      </c>
    </row>
    <row r="8" spans="1:27" x14ac:dyDescent="0.2">
      <c r="A8" s="2">
        <v>25000</v>
      </c>
      <c r="B8">
        <v>39.466000000000001</v>
      </c>
      <c r="C8">
        <f t="shared" si="4"/>
        <v>9.0452110303285718</v>
      </c>
      <c r="D8">
        <f t="shared" si="5"/>
        <v>93.005561641340748</v>
      </c>
      <c r="E8">
        <f t="shared" si="0"/>
        <v>136.51454304575751</v>
      </c>
      <c r="F8">
        <f t="shared" si="0"/>
        <v>200.37748425044958</v>
      </c>
      <c r="G8">
        <f t="shared" si="0"/>
        <v>294.11618204722083</v>
      </c>
      <c r="H8">
        <f t="shared" si="6"/>
        <v>107.52935355848247</v>
      </c>
      <c r="I8">
        <f t="shared" si="1"/>
        <v>157.83271780724354</v>
      </c>
      <c r="J8">
        <f t="shared" si="1"/>
        <v>231.66852571909519</v>
      </c>
      <c r="K8">
        <f t="shared" si="1"/>
        <v>340.04550231723846</v>
      </c>
      <c r="L8">
        <f t="shared" si="7"/>
        <v>136.79357422073801</v>
      </c>
      <c r="M8">
        <f t="shared" si="2"/>
        <v>200.78704914824439</v>
      </c>
      <c r="N8">
        <f t="shared" si="2"/>
        <v>294.71734571833179</v>
      </c>
      <c r="O8">
        <f t="shared" si="2"/>
        <v>432.58922443314424</v>
      </c>
      <c r="P8">
        <f t="shared" si="3"/>
        <v>776.02878880775063</v>
      </c>
      <c r="Q8">
        <f t="shared" si="3"/>
        <v>528.698201251147</v>
      </c>
      <c r="R8">
        <f t="shared" si="3"/>
        <v>360.19512682724155</v>
      </c>
      <c r="S8">
        <f t="shared" si="3"/>
        <v>245.39619972806</v>
      </c>
      <c r="T8">
        <f t="shared" si="3"/>
        <v>671.21200829743771</v>
      </c>
      <c r="U8">
        <f t="shared" si="3"/>
        <v>457.2879080816403</v>
      </c>
      <c r="V8">
        <f t="shared" si="3"/>
        <v>311.54423385258872</v>
      </c>
      <c r="W8">
        <f t="shared" si="3"/>
        <v>212.25098659173003</v>
      </c>
      <c r="X8">
        <f t="shared" si="3"/>
        <v>527.61976404277971</v>
      </c>
      <c r="Y8">
        <f t="shared" si="3"/>
        <v>359.46040174944886</v>
      </c>
      <c r="Z8">
        <f t="shared" si="3"/>
        <v>244.89564120156533</v>
      </c>
      <c r="AA8">
        <f t="shared" si="3"/>
        <v>166.84417751618952</v>
      </c>
    </row>
    <row r="9" spans="1:27" x14ac:dyDescent="0.2">
      <c r="A9" s="2">
        <v>24000</v>
      </c>
      <c r="B9">
        <v>46.267000000000003</v>
      </c>
      <c r="C9">
        <f t="shared" si="4"/>
        <v>9.0466238727951307</v>
      </c>
      <c r="D9">
        <f t="shared" si="5"/>
        <v>85.905055077886388</v>
      </c>
      <c r="E9">
        <f t="shared" si="0"/>
        <v>126.09234471915212</v>
      </c>
      <c r="F9">
        <f t="shared" si="0"/>
        <v>185.0796717650469</v>
      </c>
      <c r="G9">
        <f t="shared" si="0"/>
        <v>271.66189174254129</v>
      </c>
      <c r="H9">
        <f t="shared" si="6"/>
        <v>99.320028575850145</v>
      </c>
      <c r="I9">
        <f t="shared" si="1"/>
        <v>145.78298412529537</v>
      </c>
      <c r="J9">
        <f t="shared" si="1"/>
        <v>213.98179969557265</v>
      </c>
      <c r="K9">
        <f t="shared" si="1"/>
        <v>314.08473955782677</v>
      </c>
      <c r="L9">
        <f t="shared" si="7"/>
        <v>126.3500732681994</v>
      </c>
      <c r="M9">
        <f t="shared" si="2"/>
        <v>185.45796844410697</v>
      </c>
      <c r="N9">
        <f t="shared" si="2"/>
        <v>272.21715959283142</v>
      </c>
      <c r="O9">
        <f t="shared" si="2"/>
        <v>399.56321423375141</v>
      </c>
      <c r="P9">
        <f t="shared" si="3"/>
        <v>764.85002235623983</v>
      </c>
      <c r="Q9">
        <f t="shared" si="3"/>
        <v>521.08225478065515</v>
      </c>
      <c r="R9">
        <f t="shared" si="3"/>
        <v>355.00648272299355</v>
      </c>
      <c r="S9">
        <f t="shared" si="3"/>
        <v>241.86124478255749</v>
      </c>
      <c r="T9">
        <f t="shared" si="3"/>
        <v>661.54313726014766</v>
      </c>
      <c r="U9">
        <f t="shared" si="3"/>
        <v>450.70063348658533</v>
      </c>
      <c r="V9">
        <f t="shared" si="3"/>
        <v>307.05641035972121</v>
      </c>
      <c r="W9">
        <f t="shared" si="3"/>
        <v>209.19349150593948</v>
      </c>
      <c r="X9">
        <f t="shared" si="3"/>
        <v>520.01935255998274</v>
      </c>
      <c r="Y9">
        <f t="shared" si="3"/>
        <v>354.28234142787642</v>
      </c>
      <c r="Z9">
        <f t="shared" si="3"/>
        <v>241.36789684791677</v>
      </c>
      <c r="AA9">
        <f t="shared" si="3"/>
        <v>164.44077171327677</v>
      </c>
    </row>
    <row r="10" spans="1:27" x14ac:dyDescent="0.2">
      <c r="A10" s="2">
        <v>23000</v>
      </c>
      <c r="B10">
        <v>54.28</v>
      </c>
      <c r="C10">
        <f t="shared" si="4"/>
        <v>9.0480371566965356</v>
      </c>
      <c r="D10">
        <f t="shared" si="5"/>
        <v>79.31738577840899</v>
      </c>
      <c r="E10">
        <f t="shared" si="0"/>
        <v>116.42289433055321</v>
      </c>
      <c r="F10">
        <f t="shared" si="0"/>
        <v>170.88675063207609</v>
      </c>
      <c r="G10">
        <f t="shared" si="0"/>
        <v>250.82937260326921</v>
      </c>
      <c r="H10">
        <f t="shared" si="6"/>
        <v>91.703625763709098</v>
      </c>
      <c r="I10">
        <f t="shared" si="1"/>
        <v>134.60354785070493</v>
      </c>
      <c r="J10">
        <f t="shared" si="1"/>
        <v>197.57250537379628</v>
      </c>
      <c r="K10">
        <f t="shared" si="1"/>
        <v>289.9990045059896</v>
      </c>
      <c r="L10">
        <f t="shared" si="7"/>
        <v>116.66085884535805</v>
      </c>
      <c r="M10">
        <f t="shared" si="2"/>
        <v>171.2360374534918</v>
      </c>
      <c r="N10">
        <f t="shared" si="2"/>
        <v>251.34205947893534</v>
      </c>
      <c r="O10">
        <f t="shared" si="2"/>
        <v>368.92252239993906</v>
      </c>
      <c r="P10">
        <f t="shared" si="3"/>
        <v>752.74512916113486</v>
      </c>
      <c r="Q10">
        <f t="shared" si="3"/>
        <v>512.83535034761007</v>
      </c>
      <c r="R10">
        <f t="shared" si="3"/>
        <v>349.3879752622849</v>
      </c>
      <c r="S10">
        <f t="shared" si="3"/>
        <v>238.03342958931381</v>
      </c>
      <c r="T10">
        <f t="shared" si="3"/>
        <v>651.07322971432689</v>
      </c>
      <c r="U10">
        <f t="shared" si="3"/>
        <v>443.56762325993441</v>
      </c>
      <c r="V10">
        <f t="shared" si="3"/>
        <v>302.19678436294566</v>
      </c>
      <c r="W10">
        <f t="shared" si="3"/>
        <v>205.88269226716918</v>
      </c>
      <c r="X10">
        <f t="shared" si="3"/>
        <v>511.78927014103454</v>
      </c>
      <c r="Y10">
        <f t="shared" si="3"/>
        <v>348.67529458399372</v>
      </c>
      <c r="Z10">
        <f t="shared" si="3"/>
        <v>237.54788962209452</v>
      </c>
      <c r="AA10">
        <f t="shared" si="3"/>
        <v>161.83825106174083</v>
      </c>
    </row>
    <row r="11" spans="1:27" x14ac:dyDescent="0.2">
      <c r="A11" s="2">
        <v>22000</v>
      </c>
      <c r="B11">
        <v>63.726999999999997</v>
      </c>
      <c r="C11">
        <f t="shared" si="4"/>
        <v>9.0494508822397073</v>
      </c>
      <c r="D11">
        <f t="shared" si="5"/>
        <v>73.208330020826267</v>
      </c>
      <c r="E11">
        <f t="shared" si="0"/>
        <v>107.45595794019482</v>
      </c>
      <c r="F11">
        <f t="shared" si="0"/>
        <v>157.7249869456125</v>
      </c>
      <c r="G11">
        <f t="shared" si="0"/>
        <v>231.51039722561649</v>
      </c>
      <c r="H11">
        <f t="shared" si="6"/>
        <v>84.640577007562399</v>
      </c>
      <c r="I11">
        <f t="shared" si="1"/>
        <v>124.23633048822539</v>
      </c>
      <c r="J11">
        <f t="shared" si="1"/>
        <v>182.35539452667621</v>
      </c>
      <c r="K11">
        <f t="shared" si="1"/>
        <v>267.66316891604725</v>
      </c>
      <c r="L11">
        <f t="shared" si="7"/>
        <v>107.67559433594981</v>
      </c>
      <c r="M11">
        <f t="shared" si="2"/>
        <v>158.04737156082871</v>
      </c>
      <c r="N11">
        <f t="shared" si="2"/>
        <v>231.9835967596502</v>
      </c>
      <c r="O11">
        <f t="shared" si="2"/>
        <v>340.50796690934715</v>
      </c>
      <c r="P11">
        <f t="shared" si="3"/>
        <v>739.63258620718125</v>
      </c>
      <c r="Q11">
        <f t="shared" si="3"/>
        <v>503.90194739456433</v>
      </c>
      <c r="R11">
        <f t="shared" si="3"/>
        <v>343.30176539424218</v>
      </c>
      <c r="S11">
        <f t="shared" si="3"/>
        <v>233.88697490093196</v>
      </c>
      <c r="T11">
        <f t="shared" si="3"/>
        <v>639.73177380837853</v>
      </c>
      <c r="U11">
        <f t="shared" si="3"/>
        <v>435.84083860513266</v>
      </c>
      <c r="V11">
        <f t="shared" si="3"/>
        <v>296.93262766236137</v>
      </c>
      <c r="W11">
        <f t="shared" si="3"/>
        <v>202.29629158353089</v>
      </c>
      <c r="X11">
        <f t="shared" si="3"/>
        <v>502.87408951997156</v>
      </c>
      <c r="Y11">
        <f t="shared" si="3"/>
        <v>342.60149935092437</v>
      </c>
      <c r="Z11">
        <f t="shared" si="3"/>
        <v>233.40989286114308</v>
      </c>
      <c r="AA11">
        <f t="shared" si="3"/>
        <v>159.01908832467376</v>
      </c>
    </row>
    <row r="12" spans="1:27" x14ac:dyDescent="0.2">
      <c r="A12" s="2">
        <v>21000</v>
      </c>
      <c r="B12">
        <v>74.873999999999995</v>
      </c>
      <c r="C12">
        <f t="shared" si="4"/>
        <v>9.0508650496316925</v>
      </c>
      <c r="D12">
        <f t="shared" si="5"/>
        <v>67.544602602711393</v>
      </c>
      <c r="E12">
        <f t="shared" si="0"/>
        <v>99.142679177347134</v>
      </c>
      <c r="F12">
        <f t="shared" si="0"/>
        <v>145.52266881007318</v>
      </c>
      <c r="G12">
        <f t="shared" si="0"/>
        <v>213.59970613387358</v>
      </c>
      <c r="H12">
        <f t="shared" si="6"/>
        <v>78.092399272236108</v>
      </c>
      <c r="I12">
        <f t="shared" si="1"/>
        <v>114.62484623346953</v>
      </c>
      <c r="J12">
        <f t="shared" si="1"/>
        <v>168.24755669554312</v>
      </c>
      <c r="K12">
        <f t="shared" si="1"/>
        <v>246.95553594343244</v>
      </c>
      <c r="L12">
        <f t="shared" si="7"/>
        <v>99.345323508451827</v>
      </c>
      <c r="M12">
        <f t="shared" si="2"/>
        <v>145.82011229381081</v>
      </c>
      <c r="N12">
        <f t="shared" si="2"/>
        <v>214.03629681240704</v>
      </c>
      <c r="O12">
        <f t="shared" si="2"/>
        <v>314.16473099995829</v>
      </c>
      <c r="P12">
        <f t="shared" si="3"/>
        <v>725.42329079342767</v>
      </c>
      <c r="Q12">
        <f t="shared" si="3"/>
        <v>494.22134142395419</v>
      </c>
      <c r="R12">
        <f t="shared" si="3"/>
        <v>336.7064959435483</v>
      </c>
      <c r="S12">
        <f t="shared" si="3"/>
        <v>229.39370461813024</v>
      </c>
      <c r="T12">
        <f t="shared" si="3"/>
        <v>627.44170177920819</v>
      </c>
      <c r="U12">
        <f t="shared" si="3"/>
        <v>427.46777426939815</v>
      </c>
      <c r="V12">
        <f t="shared" si="3"/>
        <v>291.22816912021875</v>
      </c>
      <c r="W12">
        <f t="shared" si="3"/>
        <v>198.40991904962519</v>
      </c>
      <c r="X12">
        <f t="shared" si="3"/>
        <v>493.21323002410548</v>
      </c>
      <c r="Y12">
        <f t="shared" si="3"/>
        <v>336.01968291360942</v>
      </c>
      <c r="Z12">
        <f t="shared" si="3"/>
        <v>228.92578793931432</v>
      </c>
      <c r="AA12">
        <f t="shared" si="3"/>
        <v>155.96412665239541</v>
      </c>
    </row>
    <row r="13" spans="1:27" x14ac:dyDescent="0.2">
      <c r="A13" s="2">
        <v>20000</v>
      </c>
      <c r="B13">
        <v>88.034999999999997</v>
      </c>
      <c r="C13">
        <f t="shared" si="4"/>
        <v>9.0522796590796659</v>
      </c>
      <c r="D13">
        <f t="shared" si="5"/>
        <v>62.296324025031829</v>
      </c>
      <c r="E13">
        <f t="shared" si="0"/>
        <v>91.439200598596244</v>
      </c>
      <c r="F13">
        <f t="shared" si="0"/>
        <v>134.21542180804542</v>
      </c>
      <c r="G13">
        <f t="shared" si="0"/>
        <v>197.00280988007788</v>
      </c>
      <c r="H13">
        <f t="shared" si="6"/>
        <v>72.02454706218218</v>
      </c>
      <c r="I13">
        <f t="shared" si="1"/>
        <v>105.71838884418906</v>
      </c>
      <c r="J13">
        <f t="shared" si="1"/>
        <v>155.17456472391368</v>
      </c>
      <c r="K13">
        <f t="shared" si="1"/>
        <v>227.76686062388495</v>
      </c>
      <c r="L13">
        <f t="shared" si="7"/>
        <v>91.626099276297964</v>
      </c>
      <c r="M13">
        <f t="shared" si="2"/>
        <v>134.48975365586219</v>
      </c>
      <c r="N13">
        <f t="shared" si="2"/>
        <v>197.40547705596171</v>
      </c>
      <c r="O13">
        <f t="shared" si="2"/>
        <v>289.75383858168897</v>
      </c>
      <c r="P13">
        <f t="shared" si="3"/>
        <v>710.01982709408082</v>
      </c>
      <c r="Q13">
        <f t="shared" si="3"/>
        <v>483.72716431566198</v>
      </c>
      <c r="R13">
        <f t="shared" si="3"/>
        <v>329.55695118337377</v>
      </c>
      <c r="S13">
        <f t="shared" si="3"/>
        <v>224.52281386126006</v>
      </c>
      <c r="T13">
        <f t="shared" si="3"/>
        <v>614.11875557735459</v>
      </c>
      <c r="U13">
        <f t="shared" si="3"/>
        <v>418.39102635247156</v>
      </c>
      <c r="V13">
        <f t="shared" si="3"/>
        <v>285.0443002147083</v>
      </c>
      <c r="W13">
        <f t="shared" si="3"/>
        <v>194.19693054421265</v>
      </c>
      <c r="X13">
        <f t="shared" si="3"/>
        <v>482.74045891083654</v>
      </c>
      <c r="Y13">
        <f t="shared" si="3"/>
        <v>328.88472177614062</v>
      </c>
      <c r="Z13">
        <f t="shared" si="3"/>
        <v>224.06483281267262</v>
      </c>
      <c r="AA13">
        <f t="shared" si="3"/>
        <v>152.6524218949387</v>
      </c>
    </row>
    <row r="14" spans="1:27" x14ac:dyDescent="0.2">
      <c r="A14" s="2">
        <v>19000</v>
      </c>
      <c r="B14">
        <v>103.071</v>
      </c>
      <c r="C14">
        <f t="shared" si="4"/>
        <v>9.0536947107909356</v>
      </c>
      <c r="D14">
        <f t="shared" si="5"/>
        <v>57.577897451557192</v>
      </c>
      <c r="E14">
        <f t="shared" si="0"/>
        <v>84.513444372782175</v>
      </c>
      <c r="F14">
        <f t="shared" si="0"/>
        <v>124.04972386775086</v>
      </c>
      <c r="G14">
        <f t="shared" si="0"/>
        <v>182.0814913635339</v>
      </c>
      <c r="H14">
        <f t="shared" si="6"/>
        <v>66.569288792623297</v>
      </c>
      <c r="I14">
        <f t="shared" si="1"/>
        <v>97.711103293489316</v>
      </c>
      <c r="J14">
        <f t="shared" si="1"/>
        <v>143.42138664832657</v>
      </c>
      <c r="K14">
        <f t="shared" si="1"/>
        <v>210.5154220431302</v>
      </c>
      <c r="L14">
        <f t="shared" si="7"/>
        <v>84.686187035643258</v>
      </c>
      <c r="M14">
        <f t="shared" si="2"/>
        <v>124.30327736787302</v>
      </c>
      <c r="N14">
        <f t="shared" si="2"/>
        <v>182.45365986180406</v>
      </c>
      <c r="O14">
        <f t="shared" si="2"/>
        <v>267.80740381001988</v>
      </c>
      <c r="P14">
        <f t="shared" si="3"/>
        <v>693.33567285837978</v>
      </c>
      <c r="Q14">
        <f t="shared" si="3"/>
        <v>472.36046959887989</v>
      </c>
      <c r="R14">
        <f t="shared" si="3"/>
        <v>321.81297165889458</v>
      </c>
      <c r="S14">
        <f t="shared" si="3"/>
        <v>219.24694252224955</v>
      </c>
      <c r="T14">
        <f t="shared" si="3"/>
        <v>599.68809935325487</v>
      </c>
      <c r="U14">
        <f t="shared" si="3"/>
        <v>408.55961017488789</v>
      </c>
      <c r="V14">
        <f t="shared" si="3"/>
        <v>278.34628575467053</v>
      </c>
      <c r="W14">
        <f t="shared" si="3"/>
        <v>189.6336614386725</v>
      </c>
      <c r="X14">
        <f t="shared" si="3"/>
        <v>471.39694994821389</v>
      </c>
      <c r="Y14">
        <f t="shared" si="3"/>
        <v>321.15653840084497</v>
      </c>
      <c r="Z14">
        <f t="shared" si="3"/>
        <v>218.79972318222303</v>
      </c>
      <c r="AA14">
        <f t="shared" si="3"/>
        <v>149.06537199272378</v>
      </c>
    </row>
    <row r="15" spans="1:27" x14ac:dyDescent="0.2">
      <c r="A15" s="2">
        <v>18000</v>
      </c>
      <c r="B15">
        <v>120.676</v>
      </c>
      <c r="C15">
        <f t="shared" si="4"/>
        <v>9.0551102049729391</v>
      </c>
      <c r="D15">
        <f t="shared" si="5"/>
        <v>53.216651036887505</v>
      </c>
      <c r="E15">
        <f t="shared" si="0"/>
        <v>78.111960946398156</v>
      </c>
      <c r="F15">
        <f t="shared" si="0"/>
        <v>114.65355906485631</v>
      </c>
      <c r="G15">
        <f t="shared" si="0"/>
        <v>168.28970169189756</v>
      </c>
      <c r="H15">
        <f t="shared" si="6"/>
        <v>61.52698810218557</v>
      </c>
      <c r="I15">
        <f t="shared" si="1"/>
        <v>90.309961227287928</v>
      </c>
      <c r="J15">
        <f t="shared" si="1"/>
        <v>132.55791236406279</v>
      </c>
      <c r="K15">
        <f t="shared" si="1"/>
        <v>194.56990005892223</v>
      </c>
      <c r="L15">
        <f t="shared" si="7"/>
        <v>78.271619190542879</v>
      </c>
      <c r="M15">
        <f t="shared" si="2"/>
        <v>114.88790711736266</v>
      </c>
      <c r="N15">
        <f t="shared" si="2"/>
        <v>168.63368023185777</v>
      </c>
      <c r="O15">
        <f t="shared" si="2"/>
        <v>247.52229213724448</v>
      </c>
      <c r="P15">
        <f t="shared" si="3"/>
        <v>675.28424318710324</v>
      </c>
      <c r="Q15">
        <f t="shared" si="3"/>
        <v>460.0622681212285</v>
      </c>
      <c r="R15">
        <f t="shared" si="3"/>
        <v>313.43436883689378</v>
      </c>
      <c r="S15">
        <f t="shared" si="3"/>
        <v>213.53871068230035</v>
      </c>
      <c r="T15">
        <f t="shared" si="3"/>
        <v>584.07484307069819</v>
      </c>
      <c r="U15">
        <f t="shared" si="3"/>
        <v>397.92250414053188</v>
      </c>
      <c r="V15">
        <f t="shared" si="3"/>
        <v>271.09936539811792</v>
      </c>
      <c r="W15">
        <f t="shared" si="3"/>
        <v>184.69642996945589</v>
      </c>
      <c r="X15">
        <f t="shared" si="3"/>
        <v>459.12383430977684</v>
      </c>
      <c r="Y15">
        <f t="shared" si="3"/>
        <v>312.79502623097045</v>
      </c>
      <c r="Z15">
        <f t="shared" si="3"/>
        <v>213.10313497865394</v>
      </c>
      <c r="AA15">
        <f t="shared" si="3"/>
        <v>145.18436141691433</v>
      </c>
    </row>
    <row r="16" spans="1:27" x14ac:dyDescent="0.2">
      <c r="A16" s="2">
        <v>17000</v>
      </c>
      <c r="B16">
        <v>141.28800000000001</v>
      </c>
      <c r="C16">
        <f t="shared" si="4"/>
        <v>9.0565261418332401</v>
      </c>
      <c r="D16">
        <f t="shared" si="5"/>
        <v>49.185751062759849</v>
      </c>
      <c r="E16">
        <f t="shared" si="0"/>
        <v>72.195363505126451</v>
      </c>
      <c r="F16">
        <f t="shared" si="0"/>
        <v>105.96911501842757</v>
      </c>
      <c r="G16">
        <f t="shared" si="0"/>
        <v>155.5425832434704</v>
      </c>
      <c r="H16">
        <f t="shared" si="6"/>
        <v>56.866620906637259</v>
      </c>
      <c r="I16">
        <f t="shared" si="1"/>
        <v>83.469425167959145</v>
      </c>
      <c r="J16">
        <f t="shared" si="1"/>
        <v>122.51730148179693</v>
      </c>
      <c r="K16">
        <f t="shared" si="1"/>
        <v>179.83218564374994</v>
      </c>
      <c r="L16">
        <f t="shared" si="7"/>
        <v>72.342928421343686</v>
      </c>
      <c r="M16">
        <f t="shared" si="2"/>
        <v>106.18571235681758</v>
      </c>
      <c r="N16">
        <f t="shared" si="2"/>
        <v>155.86050709827452</v>
      </c>
      <c r="O16">
        <f t="shared" si="2"/>
        <v>228.77369406630521</v>
      </c>
      <c r="P16">
        <f t="shared" si="3"/>
        <v>655.75345134050372</v>
      </c>
      <c r="Q16">
        <f t="shared" si="3"/>
        <v>446.75619666198287</v>
      </c>
      <c r="R16">
        <f t="shared" si="3"/>
        <v>304.36911746003386</v>
      </c>
      <c r="S16">
        <f t="shared" si="3"/>
        <v>207.36267421824252</v>
      </c>
      <c r="T16">
        <f t="shared" si="3"/>
        <v>567.18203933962047</v>
      </c>
      <c r="U16">
        <f t="shared" si="3"/>
        <v>386.4136592683837</v>
      </c>
      <c r="V16">
        <f t="shared" si="3"/>
        <v>263.25854084348839</v>
      </c>
      <c r="W16">
        <f t="shared" si="3"/>
        <v>179.3545793858876</v>
      </c>
      <c r="X16">
        <f t="shared" si="3"/>
        <v>445.84490454029844</v>
      </c>
      <c r="Y16">
        <f t="shared" si="3"/>
        <v>303.74826613016347</v>
      </c>
      <c r="Z16">
        <f t="shared" si="3"/>
        <v>206.93969637762515</v>
      </c>
      <c r="AA16">
        <f t="shared" si="3"/>
        <v>140.9852918090817</v>
      </c>
    </row>
    <row r="17" spans="1:27" x14ac:dyDescent="0.2">
      <c r="A17" s="2">
        <v>16000</v>
      </c>
      <c r="B17">
        <v>165.42</v>
      </c>
      <c r="C17">
        <f t="shared" si="4"/>
        <v>9.0579425215795339</v>
      </c>
      <c r="D17">
        <f t="shared" si="5"/>
        <v>45.460257948456793</v>
      </c>
      <c r="E17">
        <f t="shared" si="0"/>
        <v>66.727045469690466</v>
      </c>
      <c r="F17">
        <f t="shared" si="0"/>
        <v>97.942660205809162</v>
      </c>
      <c r="G17">
        <f t="shared" si="0"/>
        <v>143.76126832332073</v>
      </c>
      <c r="H17">
        <f t="shared" si="6"/>
        <v>52.559353048695321</v>
      </c>
      <c r="I17">
        <f t="shared" si="1"/>
        <v>77.147172035720061</v>
      </c>
      <c r="J17">
        <f t="shared" si="1"/>
        <v>113.23743173921594</v>
      </c>
      <c r="K17">
        <f t="shared" si="1"/>
        <v>166.211095086629</v>
      </c>
      <c r="L17">
        <f t="shared" si="7"/>
        <v>66.863433326141376</v>
      </c>
      <c r="M17">
        <f t="shared" si="2"/>
        <v>98.142851738141246</v>
      </c>
      <c r="N17">
        <f t="shared" si="2"/>
        <v>144.05511156318349</v>
      </c>
      <c r="O17">
        <f t="shared" si="2"/>
        <v>211.44561014846107</v>
      </c>
      <c r="P17">
        <f t="shared" si="3"/>
        <v>634.62207960180763</v>
      </c>
      <c r="Q17">
        <f t="shared" si="3"/>
        <v>432.35967118593425</v>
      </c>
      <c r="R17">
        <f t="shared" si="3"/>
        <v>294.56095411193564</v>
      </c>
      <c r="S17">
        <f t="shared" si="3"/>
        <v>200.68050160492521</v>
      </c>
      <c r="T17">
        <f t="shared" si="3"/>
        <v>548.90484309719636</v>
      </c>
      <c r="U17">
        <f t="shared" si="3"/>
        <v>373.96164599690474</v>
      </c>
      <c r="V17">
        <f t="shared" si="3"/>
        <v>254.77514807052097</v>
      </c>
      <c r="W17">
        <f t="shared" si="3"/>
        <v>173.57495553138395</v>
      </c>
      <c r="X17">
        <f t="shared" si="3"/>
        <v>431.47774505926895</v>
      </c>
      <c r="Y17">
        <f t="shared" si="3"/>
        <v>293.96010944801441</v>
      </c>
      <c r="Z17">
        <f t="shared" si="3"/>
        <v>200.27115404253061</v>
      </c>
      <c r="AA17">
        <f t="shared" si="3"/>
        <v>136.44210167441128</v>
      </c>
    </row>
    <row r="18" spans="1:27" x14ac:dyDescent="0.2">
      <c r="A18" s="2">
        <v>15000</v>
      </c>
      <c r="B18">
        <v>193.67400000000001</v>
      </c>
      <c r="C18">
        <f t="shared" si="4"/>
        <v>9.059359344419649</v>
      </c>
      <c r="D18">
        <f t="shared" si="5"/>
        <v>42.016919225512304</v>
      </c>
      <c r="E18">
        <f t="shared" si="0"/>
        <v>61.672876621947218</v>
      </c>
      <c r="F18">
        <f t="shared" si="0"/>
        <v>90.524097933302187</v>
      </c>
      <c r="G18">
        <f t="shared" si="0"/>
        <v>132.87222447674688</v>
      </c>
      <c r="H18">
        <f t="shared" si="6"/>
        <v>48.578300943564741</v>
      </c>
      <c r="I18">
        <f t="shared" si="1"/>
        <v>71.303741821631874</v>
      </c>
      <c r="J18">
        <f t="shared" si="1"/>
        <v>104.66038331954982</v>
      </c>
      <c r="K18">
        <f t="shared" si="1"/>
        <v>153.62161307040947</v>
      </c>
      <c r="L18">
        <f t="shared" si="7"/>
        <v>61.798933925764899</v>
      </c>
      <c r="M18">
        <f t="shared" si="2"/>
        <v>90.70912617166293</v>
      </c>
      <c r="N18">
        <f t="shared" si="2"/>
        <v>133.14381087399687</v>
      </c>
      <c r="O18">
        <f t="shared" si="2"/>
        <v>195.42988806333074</v>
      </c>
      <c r="P18">
        <f t="shared" si="3"/>
        <v>611.75897330812234</v>
      </c>
      <c r="Q18">
        <f t="shared" si="3"/>
        <v>416.78333774725331</v>
      </c>
      <c r="R18">
        <f t="shared" si="3"/>
        <v>283.94900312520645</v>
      </c>
      <c r="S18">
        <f t="shared" si="3"/>
        <v>193.45071905127952</v>
      </c>
      <c r="T18">
        <f t="shared" si="3"/>
        <v>529.12981449950848</v>
      </c>
      <c r="U18">
        <f t="shared" si="3"/>
        <v>360.48917925330608</v>
      </c>
      <c r="V18">
        <f t="shared" si="3"/>
        <v>245.59653377619861</v>
      </c>
      <c r="W18">
        <f t="shared" si="3"/>
        <v>167.32168640351853</v>
      </c>
      <c r="X18">
        <f t="shared" si="3"/>
        <v>415.93318418480419</v>
      </c>
      <c r="Y18">
        <f t="shared" si="3"/>
        <v>283.3698046911577</v>
      </c>
      <c r="Z18">
        <f t="shared" si="3"/>
        <v>193.05611878043197</v>
      </c>
      <c r="AA18">
        <f t="shared" si="3"/>
        <v>131.52659310043728</v>
      </c>
    </row>
    <row r="19" spans="1:27" x14ac:dyDescent="0.2">
      <c r="A19" s="2">
        <v>14000</v>
      </c>
      <c r="B19">
        <v>226.75299999999999</v>
      </c>
      <c r="C19">
        <f t="shared" si="4"/>
        <v>9.0607766105615379</v>
      </c>
      <c r="D19">
        <f t="shared" si="5"/>
        <v>38.834463922242115</v>
      </c>
      <c r="E19">
        <f t="shared" si="5"/>
        <v>57.001635205602014</v>
      </c>
      <c r="F19">
        <f t="shared" si="5"/>
        <v>83.667600578144771</v>
      </c>
      <c r="G19">
        <f t="shared" si="5"/>
        <v>122.8081854363364</v>
      </c>
      <c r="H19">
        <f t="shared" si="6"/>
        <v>44.898871934694618</v>
      </c>
      <c r="I19">
        <f t="shared" si="6"/>
        <v>65.90303716536387</v>
      </c>
      <c r="J19">
        <f t="shared" si="6"/>
        <v>96.733172137075726</v>
      </c>
      <c r="K19">
        <f t="shared" si="6"/>
        <v>141.98596899596257</v>
      </c>
      <c r="L19">
        <f t="shared" si="7"/>
        <v>57.118144647690535</v>
      </c>
      <c r="M19">
        <f t="shared" si="7"/>
        <v>83.83861436448764</v>
      </c>
      <c r="N19">
        <f t="shared" si="7"/>
        <v>123.05920127329409</v>
      </c>
      <c r="O19">
        <f t="shared" si="7"/>
        <v>180.62759186577887</v>
      </c>
      <c r="P19">
        <f t="shared" si="3"/>
        <v>587.02222889961865</v>
      </c>
      <c r="Q19">
        <f t="shared" si="3"/>
        <v>399.93051931808395</v>
      </c>
      <c r="R19">
        <f t="shared" si="3"/>
        <v>272.46739971304055</v>
      </c>
      <c r="S19">
        <f t="shared" si="3"/>
        <v>185.62845374483746</v>
      </c>
      <c r="T19">
        <f t="shared" si="3"/>
        <v>507.73421663943293</v>
      </c>
      <c r="U19">
        <f t="shared" si="3"/>
        <v>345.91263999798576</v>
      </c>
      <c r="V19">
        <f t="shared" si="3"/>
        <v>235.66572940926969</v>
      </c>
      <c r="W19">
        <f t="shared" si="3"/>
        <v>160.55596007803157</v>
      </c>
      <c r="X19">
        <f t="shared" si="3"/>
        <v>399.11474209059656</v>
      </c>
      <c r="Y19">
        <f t="shared" si="3"/>
        <v>271.91162142360758</v>
      </c>
      <c r="Z19">
        <f t="shared" si="3"/>
        <v>185.24980931030677</v>
      </c>
      <c r="AA19">
        <f t="shared" si="3"/>
        <v>126.2082571897222</v>
      </c>
    </row>
    <row r="20" spans="1:27" x14ac:dyDescent="0.2">
      <c r="A20" s="2">
        <v>13000</v>
      </c>
      <c r="B20">
        <v>265.483</v>
      </c>
      <c r="C20">
        <f t="shared" si="4"/>
        <v>9.0621943202132886</v>
      </c>
      <c r="D20">
        <f t="shared" si="5"/>
        <v>35.892974516757484</v>
      </c>
      <c r="E20">
        <f t="shared" si="5"/>
        <v>52.684086072226528</v>
      </c>
      <c r="F20">
        <f t="shared" si="5"/>
        <v>77.330256481527101</v>
      </c>
      <c r="G20">
        <f t="shared" si="5"/>
        <v>113.50616501728075</v>
      </c>
      <c r="H20">
        <f t="shared" si="6"/>
        <v>41.498038170681362</v>
      </c>
      <c r="I20">
        <f t="shared" si="6"/>
        <v>60.911257544063368</v>
      </c>
      <c r="J20">
        <f t="shared" si="6"/>
        <v>89.406185428314643</v>
      </c>
      <c r="K20">
        <f t="shared" si="6"/>
        <v>131.23134072646076</v>
      </c>
      <c r="L20">
        <f t="shared" si="7"/>
        <v>52.791770587821183</v>
      </c>
      <c r="M20">
        <f t="shared" si="7"/>
        <v>77.48831694780543</v>
      </c>
      <c r="N20">
        <f t="shared" si="7"/>
        <v>113.7381678346047</v>
      </c>
      <c r="O20">
        <f t="shared" si="7"/>
        <v>166.94608080191466</v>
      </c>
      <c r="P20">
        <f t="shared" si="3"/>
        <v>560.25829798242808</v>
      </c>
      <c r="Q20">
        <f t="shared" si="3"/>
        <v>381.69660539838515</v>
      </c>
      <c r="R20">
        <f t="shared" si="3"/>
        <v>260.04487411843763</v>
      </c>
      <c r="S20">
        <f t="shared" si="3"/>
        <v>177.16515053806691</v>
      </c>
      <c r="T20">
        <f t="shared" si="3"/>
        <v>484.58524062211177</v>
      </c>
      <c r="U20">
        <f t="shared" si="3"/>
        <v>330.14154727864644</v>
      </c>
      <c r="V20">
        <f t="shared" si="3"/>
        <v>224.92109148766622</v>
      </c>
      <c r="W20">
        <f t="shared" si="3"/>
        <v>153.23577966182035</v>
      </c>
      <c r="X20">
        <f t="shared" si="3"/>
        <v>380.91802166082954</v>
      </c>
      <c r="Y20">
        <f t="shared" si="3"/>
        <v>259.51443526422764</v>
      </c>
      <c r="Z20">
        <f t="shared" si="3"/>
        <v>176.80376952728585</v>
      </c>
      <c r="AA20">
        <f t="shared" si="3"/>
        <v>120.45408143570256</v>
      </c>
    </row>
    <row r="21" spans="1:27" x14ac:dyDescent="0.2">
      <c r="A21" s="2">
        <v>12000</v>
      </c>
      <c r="B21">
        <v>310.82799999999997</v>
      </c>
      <c r="C21">
        <f t="shared" si="4"/>
        <v>9.0636124735831167</v>
      </c>
      <c r="D21">
        <f t="shared" si="5"/>
        <v>33.174296420855583</v>
      </c>
      <c r="E21">
        <f t="shared" si="5"/>
        <v>48.693581726026359</v>
      </c>
      <c r="F21">
        <f t="shared" si="5"/>
        <v>71.472952168432357</v>
      </c>
      <c r="G21">
        <f t="shared" si="5"/>
        <v>104.9087520489508</v>
      </c>
      <c r="H21">
        <f t="shared" si="6"/>
        <v>38.354810034354578</v>
      </c>
      <c r="I21">
        <f t="shared" si="6"/>
        <v>56.297594176554746</v>
      </c>
      <c r="J21">
        <f t="shared" si="6"/>
        <v>82.63420173973455</v>
      </c>
      <c r="K21">
        <f t="shared" si="6"/>
        <v>121.29135173607217</v>
      </c>
      <c r="L21">
        <f t="shared" si="7"/>
        <v>48.79310978376941</v>
      </c>
      <c r="M21">
        <f t="shared" si="7"/>
        <v>71.619040499960519</v>
      </c>
      <c r="N21">
        <f t="shared" si="7"/>
        <v>105.12318204078066</v>
      </c>
      <c r="O21">
        <f t="shared" si="7"/>
        <v>154.30091390829506</v>
      </c>
      <c r="P21">
        <f t="shared" si="3"/>
        <v>531.30102237490394</v>
      </c>
      <c r="Q21">
        <f t="shared" si="3"/>
        <v>361.96839460564814</v>
      </c>
      <c r="R21">
        <f t="shared" si="3"/>
        <v>246.60430372922818</v>
      </c>
      <c r="S21">
        <f t="shared" si="3"/>
        <v>168.00826681023287</v>
      </c>
      <c r="T21">
        <f t="shared" si="3"/>
        <v>459.53917094574086</v>
      </c>
      <c r="U21">
        <f t="shared" si="3"/>
        <v>313.0779896152095</v>
      </c>
      <c r="V21">
        <f t="shared" si="3"/>
        <v>213.29591420852887</v>
      </c>
      <c r="W21">
        <f t="shared" si="3"/>
        <v>145.31569936924726</v>
      </c>
      <c r="X21">
        <f t="shared" si="3"/>
        <v>361.23005242087834</v>
      </c>
      <c r="Y21">
        <f t="shared" si="3"/>
        <v>246.10128091535103</v>
      </c>
      <c r="Z21">
        <f t="shared" si="3"/>
        <v>167.66556398693461</v>
      </c>
      <c r="AA21">
        <f t="shared" si="3"/>
        <v>114.22834226013717</v>
      </c>
    </row>
    <row r="22" spans="1:27" x14ac:dyDescent="0.2">
      <c r="A22" s="2">
        <v>11000</v>
      </c>
      <c r="B22">
        <v>363.92105176595118</v>
      </c>
      <c r="C22">
        <f t="shared" si="4"/>
        <v>9.0650310708793693</v>
      </c>
      <c r="D22">
        <f t="shared" si="5"/>
        <v>30.661414247395662</v>
      </c>
      <c r="E22">
        <f t="shared" si="5"/>
        <v>45.005146802525736</v>
      </c>
      <c r="F22">
        <f t="shared" si="5"/>
        <v>66.059028535806448</v>
      </c>
      <c r="G22">
        <f t="shared" si="5"/>
        <v>96.962137913737251</v>
      </c>
      <c r="H22">
        <f t="shared" si="6"/>
        <v>35.449515007775517</v>
      </c>
      <c r="I22">
        <f t="shared" si="6"/>
        <v>52.033171533788213</v>
      </c>
      <c r="J22">
        <f t="shared" si="6"/>
        <v>76.374837265637453</v>
      </c>
      <c r="K22">
        <f t="shared" si="6"/>
        <v>112.10379062834599</v>
      </c>
      <c r="L22">
        <f t="shared" si="7"/>
        <v>45.097135822247033</v>
      </c>
      <c r="M22">
        <f t="shared" si="7"/>
        <v>66.194050987914281</v>
      </c>
      <c r="N22">
        <f t="shared" si="7"/>
        <v>97.160325291192152</v>
      </c>
      <c r="O22">
        <f t="shared" si="7"/>
        <v>142.61294889496716</v>
      </c>
      <c r="P22">
        <f t="shared" si="3"/>
        <v>499.97059651979237</v>
      </c>
      <c r="Q22">
        <f t="shared" si="3"/>
        <v>340.62338777996263</v>
      </c>
      <c r="R22">
        <f t="shared" si="3"/>
        <v>232.06223147985818</v>
      </c>
      <c r="S22">
        <f t="shared" si="3"/>
        <v>158.10094436087098</v>
      </c>
      <c r="T22">
        <f t="shared" si="3"/>
        <v>432.44048805881886</v>
      </c>
      <c r="U22">
        <f t="shared" si="3"/>
        <v>294.61601358387929</v>
      </c>
      <c r="V22">
        <f t="shared" si="3"/>
        <v>200.71801289857609</v>
      </c>
      <c r="W22">
        <f t="shared" si="3"/>
        <v>136.74654073235823</v>
      </c>
      <c r="X22">
        <f t="shared" si="3"/>
        <v>339.92858508429867</v>
      </c>
      <c r="Y22">
        <f t="shared" si="3"/>
        <v>231.58887154692781</v>
      </c>
      <c r="Z22">
        <f t="shared" si="3"/>
        <v>157.77845046799732</v>
      </c>
      <c r="AA22">
        <f t="shared" si="3"/>
        <v>107.49238193441396</v>
      </c>
    </row>
    <row r="23" spans="1:27" x14ac:dyDescent="0.2">
      <c r="A23" s="2">
        <v>10000</v>
      </c>
      <c r="B23">
        <v>412.70881120912975</v>
      </c>
      <c r="C23">
        <f t="shared" si="4"/>
        <v>9.0664501123105214</v>
      </c>
      <c r="D23">
        <f t="shared" si="5"/>
        <v>28.794390574783272</v>
      </c>
      <c r="E23">
        <f t="shared" si="5"/>
        <v>42.264709789681547</v>
      </c>
      <c r="F23">
        <f t="shared" si="5"/>
        <v>62.036586222122111</v>
      </c>
      <c r="G23">
        <f t="shared" si="5"/>
        <v>91.057954715552526</v>
      </c>
      <c r="H23">
        <f t="shared" si="6"/>
        <v>33.290936046996926</v>
      </c>
      <c r="I23">
        <f t="shared" si="6"/>
        <v>48.864786597893243</v>
      </c>
      <c r="J23">
        <f t="shared" si="6"/>
        <v>71.724248482734993</v>
      </c>
      <c r="K23">
        <f t="shared" si="6"/>
        <v>105.27760742609911</v>
      </c>
      <c r="L23">
        <f t="shared" si="7"/>
        <v>42.35109744750693</v>
      </c>
      <c r="M23">
        <f t="shared" si="7"/>
        <v>62.163386936237515</v>
      </c>
      <c r="N23">
        <f t="shared" si="7"/>
        <v>91.244074139378966</v>
      </c>
      <c r="O23">
        <f t="shared" si="7"/>
        <v>133.92901313585324</v>
      </c>
      <c r="P23">
        <f t="shared" si="3"/>
        <v>466.33216531897654</v>
      </c>
      <c r="Q23">
        <f t="shared" si="3"/>
        <v>317.70596728567261</v>
      </c>
      <c r="R23">
        <f t="shared" si="3"/>
        <v>216.44889449108192</v>
      </c>
      <c r="S23">
        <f t="shared" si="3"/>
        <v>147.46378334242971</v>
      </c>
      <c r="T23">
        <f t="shared" si="3"/>
        <v>403.34553786120671</v>
      </c>
      <c r="U23">
        <f t="shared" si="3"/>
        <v>274.79400690471726</v>
      </c>
      <c r="V23">
        <f t="shared" si="3"/>
        <v>187.21354060630213</v>
      </c>
      <c r="W23">
        <f t="shared" si="3"/>
        <v>127.5461214789174</v>
      </c>
      <c r="X23">
        <f t="shared" si="3"/>
        <v>317.05791148440392</v>
      </c>
      <c r="Y23">
        <f t="shared" si="3"/>
        <v>216.00738260211241</v>
      </c>
      <c r="Z23">
        <f t="shared" si="3"/>
        <v>147.16298710278531</v>
      </c>
      <c r="AA23">
        <f t="shared" si="3"/>
        <v>100.26020644353095</v>
      </c>
    </row>
    <row r="24" spans="1:27" x14ac:dyDescent="0.2">
      <c r="A24" s="2">
        <v>9000</v>
      </c>
      <c r="B24">
        <v>466.34943523858482</v>
      </c>
      <c r="C24">
        <f t="shared" si="4"/>
        <v>9.0678695980851831</v>
      </c>
      <c r="D24">
        <f t="shared" si="5"/>
        <v>27.089939124575121</v>
      </c>
      <c r="E24">
        <f t="shared" si="5"/>
        <v>39.762897997327208</v>
      </c>
      <c r="F24">
        <f t="shared" si="5"/>
        <v>58.364400520617473</v>
      </c>
      <c r="G24">
        <f t="shared" si="5"/>
        <v>85.667881862132532</v>
      </c>
      <c r="H24">
        <f t="shared" si="6"/>
        <v>31.320316662755356</v>
      </c>
      <c r="I24">
        <f t="shared" si="6"/>
        <v>45.972290708300413</v>
      </c>
      <c r="J24">
        <f t="shared" si="6"/>
        <v>67.478612548055807</v>
      </c>
      <c r="K24">
        <f t="shared" si="6"/>
        <v>99.045818280021322</v>
      </c>
      <c r="L24">
        <f t="shared" si="7"/>
        <v>39.844172035252278</v>
      </c>
      <c r="M24">
        <f t="shared" si="7"/>
        <v>58.483695409579177</v>
      </c>
      <c r="N24">
        <f t="shared" si="7"/>
        <v>85.842984156736208</v>
      </c>
      <c r="O24">
        <f t="shared" si="7"/>
        <v>126.00123636726747</v>
      </c>
      <c r="P24">
        <f t="shared" si="3"/>
        <v>430.54395759134655</v>
      </c>
      <c r="Q24">
        <f t="shared" si="3"/>
        <v>293.32393233479166</v>
      </c>
      <c r="R24">
        <f t="shared" si="3"/>
        <v>199.83773494740313</v>
      </c>
      <c r="S24">
        <f t="shared" ref="S24:AA31" si="8">($A24-$A25)/AVERAGE(G24:G25)+S25</f>
        <v>136.14681894870995</v>
      </c>
      <c r="T24">
        <f t="shared" si="8"/>
        <v>372.39117749638865</v>
      </c>
      <c r="U24">
        <f t="shared" si="8"/>
        <v>253.70520854853487</v>
      </c>
      <c r="V24">
        <f t="shared" si="8"/>
        <v>172.84601981549301</v>
      </c>
      <c r="W24">
        <f t="shared" si="8"/>
        <v>117.75771864117029</v>
      </c>
      <c r="X24">
        <f t="shared" si="8"/>
        <v>292.72561094465681</v>
      </c>
      <c r="Y24">
        <f t="shared" si="8"/>
        <v>199.4301064582327</v>
      </c>
      <c r="Z24">
        <f t="shared" si="8"/>
        <v>135.86910702344201</v>
      </c>
      <c r="AA24">
        <f t="shared" si="8"/>
        <v>92.565834573295859</v>
      </c>
    </row>
    <row r="25" spans="1:27" x14ac:dyDescent="0.2">
      <c r="A25" s="2">
        <v>8000</v>
      </c>
      <c r="B25">
        <v>525.16758083437139</v>
      </c>
      <c r="C25">
        <f t="shared" si="4"/>
        <v>9.0692895284120905</v>
      </c>
      <c r="D25">
        <f t="shared" si="5"/>
        <v>25.529881709584188</v>
      </c>
      <c r="E25">
        <f t="shared" si="5"/>
        <v>37.473029290830759</v>
      </c>
      <c r="F25">
        <f t="shared" si="5"/>
        <v>55.003307113025031</v>
      </c>
      <c r="G25">
        <f t="shared" si="5"/>
        <v>80.734433554589202</v>
      </c>
      <c r="H25">
        <f t="shared" si="6"/>
        <v>29.516639953667813</v>
      </c>
      <c r="I25">
        <f t="shared" si="6"/>
        <v>43.324835035779493</v>
      </c>
      <c r="J25">
        <f t="shared" si="6"/>
        <v>63.592649225111437</v>
      </c>
      <c r="K25">
        <f t="shared" si="6"/>
        <v>93.341960382038124</v>
      </c>
      <c r="L25">
        <f t="shared" si="7"/>
        <v>37.549622913457434</v>
      </c>
      <c r="M25">
        <f t="shared" si="7"/>
        <v>55.115732039110874</v>
      </c>
      <c r="N25">
        <f t="shared" si="7"/>
        <v>80.89945204531935</v>
      </c>
      <c r="O25">
        <f t="shared" si="7"/>
        <v>118.74506786172589</v>
      </c>
      <c r="P25">
        <f t="shared" ref="P25:R31" si="9">($A25-$A26)/AVERAGE(D25:D26)+P26</f>
        <v>392.53546633662802</v>
      </c>
      <c r="Q25">
        <f t="shared" si="9"/>
        <v>267.42924743590726</v>
      </c>
      <c r="R25">
        <f t="shared" si="9"/>
        <v>182.19602690067106</v>
      </c>
      <c r="S25">
        <f t="shared" si="8"/>
        <v>124.12775542191108</v>
      </c>
      <c r="T25">
        <f t="shared" si="8"/>
        <v>339.51642321487532</v>
      </c>
      <c r="U25">
        <f t="shared" si="8"/>
        <v>231.30807108935306</v>
      </c>
      <c r="V25">
        <f t="shared" si="8"/>
        <v>157.58714481159464</v>
      </c>
      <c r="W25">
        <f t="shared" si="8"/>
        <v>107.36204790829531</v>
      </c>
      <c r="X25">
        <f t="shared" si="8"/>
        <v>266.88374595631456</v>
      </c>
      <c r="Y25">
        <f t="shared" si="8"/>
        <v>181.82438392144132</v>
      </c>
      <c r="Z25">
        <f t="shared" si="8"/>
        <v>123.87455995099529</v>
      </c>
      <c r="AA25">
        <f t="shared" si="8"/>
        <v>84.394107501459345</v>
      </c>
    </row>
    <row r="26" spans="1:27" x14ac:dyDescent="0.2">
      <c r="A26" s="2">
        <v>7000</v>
      </c>
      <c r="B26">
        <v>589.49965215498526</v>
      </c>
      <c r="C26">
        <f t="shared" si="4"/>
        <v>9.0707099035001129</v>
      </c>
      <c r="D26">
        <f t="shared" si="5"/>
        <v>24.098498610747377</v>
      </c>
      <c r="E26">
        <f t="shared" si="5"/>
        <v>35.372030100968651</v>
      </c>
      <c r="F26">
        <f t="shared" si="5"/>
        <v>51.919438371394392</v>
      </c>
      <c r="G26">
        <f t="shared" si="5"/>
        <v>76.207898531874264</v>
      </c>
      <c r="H26">
        <f t="shared" si="6"/>
        <v>27.861731402004978</v>
      </c>
      <c r="I26">
        <f t="shared" si="6"/>
        <v>40.89574283176718</v>
      </c>
      <c r="J26">
        <f t="shared" si="6"/>
        <v>60.027202101362711</v>
      </c>
      <c r="K26">
        <f t="shared" si="6"/>
        <v>88.108559537372784</v>
      </c>
      <c r="L26">
        <f t="shared" si="7"/>
        <v>35.444329351292559</v>
      </c>
      <c r="M26">
        <f t="shared" si="7"/>
        <v>52.025559972579721</v>
      </c>
      <c r="N26">
        <f t="shared" si="7"/>
        <v>76.363664935919729</v>
      </c>
      <c r="O26">
        <f t="shared" si="7"/>
        <v>112.08739176510315</v>
      </c>
      <c r="P26">
        <f t="shared" si="9"/>
        <v>352.23594442817983</v>
      </c>
      <c r="Q26">
        <f t="shared" si="9"/>
        <v>239.97371350267321</v>
      </c>
      <c r="R26">
        <f t="shared" si="9"/>
        <v>163.49093294765956</v>
      </c>
      <c r="S26">
        <f t="shared" si="8"/>
        <v>111.38422107135644</v>
      </c>
      <c r="T26">
        <f t="shared" si="8"/>
        <v>304.66008357423709</v>
      </c>
      <c r="U26">
        <f t="shared" si="8"/>
        <v>207.56090560272591</v>
      </c>
      <c r="V26">
        <f t="shared" si="8"/>
        <v>141.4085134790096</v>
      </c>
      <c r="W26">
        <f t="shared" si="8"/>
        <v>96.339759292708663</v>
      </c>
      <c r="X26">
        <f t="shared" si="8"/>
        <v>239.4842157494013</v>
      </c>
      <c r="Y26">
        <f t="shared" si="8"/>
        <v>163.1574445701614</v>
      </c>
      <c r="Z26">
        <f t="shared" si="8"/>
        <v>111.15701982848461</v>
      </c>
      <c r="AA26">
        <f t="shared" si="8"/>
        <v>75.729814779225819</v>
      </c>
    </row>
    <row r="27" spans="1:27" x14ac:dyDescent="0.2">
      <c r="A27" s="2">
        <v>6000</v>
      </c>
      <c r="B27">
        <v>659.69388471754337</v>
      </c>
      <c r="C27">
        <f t="shared" si="4"/>
        <v>9.0721307235582511</v>
      </c>
      <c r="D27">
        <f t="shared" si="5"/>
        <v>22.782141465617659</v>
      </c>
      <c r="E27">
        <f t="shared" si="5"/>
        <v>33.439867217576911</v>
      </c>
      <c r="F27">
        <f t="shared" si="5"/>
        <v>49.083389338828233</v>
      </c>
      <c r="G27">
        <f t="shared" si="5"/>
        <v>72.045115888518453</v>
      </c>
      <c r="H27">
        <f t="shared" si="6"/>
        <v>26.339811310669596</v>
      </c>
      <c r="I27">
        <f t="shared" si="6"/>
        <v>38.661852490649594</v>
      </c>
      <c r="J27">
        <f t="shared" si="6"/>
        <v>56.748274328118178</v>
      </c>
      <c r="K27">
        <f t="shared" si="6"/>
        <v>83.295714813412161</v>
      </c>
      <c r="L27">
        <f t="shared" si="7"/>
        <v>33.508217191379963</v>
      </c>
      <c r="M27">
        <f t="shared" si="7"/>
        <v>49.183714150336769</v>
      </c>
      <c r="N27">
        <f t="shared" si="7"/>
        <v>72.192373703616184</v>
      </c>
      <c r="O27">
        <f t="shared" si="7"/>
        <v>105.96472655627788</v>
      </c>
      <c r="P27">
        <f t="shared" si="9"/>
        <v>309.57441086673208</v>
      </c>
      <c r="Q27">
        <f t="shared" si="9"/>
        <v>210.90897211439909</v>
      </c>
      <c r="R27">
        <f t="shared" si="9"/>
        <v>143.68950713275063</v>
      </c>
      <c r="S27">
        <f t="shared" si="8"/>
        <v>97.893770251053297</v>
      </c>
      <c r="T27">
        <f t="shared" si="8"/>
        <v>267.7607648481611</v>
      </c>
      <c r="U27">
        <f t="shared" si="8"/>
        <v>182.42188535085984</v>
      </c>
      <c r="V27">
        <f t="shared" si="8"/>
        <v>124.28162981172034</v>
      </c>
      <c r="W27">
        <f t="shared" si="8"/>
        <v>84.671438840518945</v>
      </c>
      <c r="X27">
        <f t="shared" si="8"/>
        <v>210.47876054460673</v>
      </c>
      <c r="Y27">
        <f t="shared" si="8"/>
        <v>143.39640965184904</v>
      </c>
      <c r="Z27">
        <f t="shared" si="8"/>
        <v>97.69408679448722</v>
      </c>
      <c r="AA27">
        <f t="shared" si="8"/>
        <v>66.557695675790853</v>
      </c>
    </row>
    <row r="28" spans="1:27" x14ac:dyDescent="0.2">
      <c r="A28" s="2">
        <v>5000</v>
      </c>
      <c r="B28">
        <v>736.11042787007295</v>
      </c>
      <c r="C28">
        <f t="shared" si="4"/>
        <v>9.073551988795634</v>
      </c>
      <c r="D28">
        <f t="shared" si="5"/>
        <v>21.568915280033622</v>
      </c>
      <c r="E28">
        <f t="shared" si="5"/>
        <v>31.659081042930193</v>
      </c>
      <c r="F28">
        <f t="shared" si="5"/>
        <v>46.469532633875659</v>
      </c>
      <c r="G28">
        <f t="shared" si="5"/>
        <v>68.208469484083636</v>
      </c>
      <c r="H28">
        <f t="shared" si="6"/>
        <v>24.937127157659898</v>
      </c>
      <c r="I28">
        <f t="shared" si="6"/>
        <v>36.602977915771177</v>
      </c>
      <c r="J28">
        <f t="shared" si="6"/>
        <v>53.726236540077736</v>
      </c>
      <c r="K28">
        <f t="shared" si="6"/>
        <v>78.859935915669624</v>
      </c>
      <c r="L28">
        <f t="shared" si="7"/>
        <v>31.72379114915859</v>
      </c>
      <c r="M28">
        <f t="shared" si="7"/>
        <v>46.564514809417787</v>
      </c>
      <c r="N28">
        <f t="shared" si="7"/>
        <v>68.34788532183353</v>
      </c>
      <c r="O28">
        <f t="shared" si="7"/>
        <v>100.32174601380571</v>
      </c>
      <c r="P28">
        <f t="shared" si="9"/>
        <v>264.47965672209483</v>
      </c>
      <c r="Q28">
        <f t="shared" si="9"/>
        <v>180.18650956405833</v>
      </c>
      <c r="R28">
        <f t="shared" si="9"/>
        <v>122.758697705789</v>
      </c>
      <c r="S28">
        <f t="shared" si="8"/>
        <v>83.633885238582948</v>
      </c>
      <c r="T28">
        <f t="shared" si="8"/>
        <v>228.75687616562456</v>
      </c>
      <c r="U28">
        <f t="shared" si="8"/>
        <v>155.84904928386484</v>
      </c>
      <c r="V28">
        <f t="shared" si="8"/>
        <v>106.1779062986455</v>
      </c>
      <c r="W28">
        <f t="shared" si="8"/>
        <v>72.33761025663901</v>
      </c>
      <c r="X28">
        <f t="shared" si="8"/>
        <v>179.81896559303698</v>
      </c>
      <c r="Y28">
        <f t="shared" si="8"/>
        <v>122.50829483522249</v>
      </c>
      <c r="Z28">
        <f t="shared" si="8"/>
        <v>83.463289058175732</v>
      </c>
      <c r="AA28">
        <f t="shared" si="8"/>
        <v>56.862440455793227</v>
      </c>
    </row>
    <row r="29" spans="1:27" x14ac:dyDescent="0.2">
      <c r="A29" s="2">
        <v>4000</v>
      </c>
      <c r="B29">
        <v>819.12142563499026</v>
      </c>
      <c r="C29">
        <f t="shared" si="4"/>
        <v>9.0749736994215251</v>
      </c>
      <c r="D29">
        <f t="shared" si="5"/>
        <v>20.448415833151756</v>
      </c>
      <c r="E29">
        <f t="shared" si="5"/>
        <v>30.01440015208216</v>
      </c>
      <c r="F29">
        <f t="shared" si="5"/>
        <v>44.055452698139767</v>
      </c>
      <c r="G29">
        <f t="shared" si="5"/>
        <v>64.665057525841902</v>
      </c>
      <c r="H29">
        <f t="shared" si="6"/>
        <v>23.641649994149194</v>
      </c>
      <c r="I29">
        <f t="shared" si="6"/>
        <v>34.701462889337876</v>
      </c>
      <c r="J29">
        <f t="shared" si="6"/>
        <v>50.935172754782577</v>
      </c>
      <c r="K29">
        <f t="shared" si="6"/>
        <v>74.763183092107624</v>
      </c>
      <c r="L29">
        <f t="shared" si="7"/>
        <v>30.075748585398628</v>
      </c>
      <c r="M29">
        <f t="shared" si="7"/>
        <v>44.145500574771781</v>
      </c>
      <c r="N29">
        <f t="shared" si="7"/>
        <v>64.79723074767638</v>
      </c>
      <c r="O29">
        <f t="shared" si="7"/>
        <v>95.11005782924731</v>
      </c>
      <c r="P29">
        <f t="shared" si="9"/>
        <v>216.88025078618608</v>
      </c>
      <c r="Q29">
        <f t="shared" si="9"/>
        <v>147.75766070962163</v>
      </c>
      <c r="R29">
        <f t="shared" si="9"/>
        <v>100.66534974594491</v>
      </c>
      <c r="S29">
        <f t="shared" si="8"/>
        <v>68.581978022703879</v>
      </c>
      <c r="T29">
        <f t="shared" si="8"/>
        <v>187.58663440037833</v>
      </c>
      <c r="U29">
        <f t="shared" si="8"/>
        <v>127.8003053708953</v>
      </c>
      <c r="V29">
        <f t="shared" si="8"/>
        <v>87.068666193102459</v>
      </c>
      <c r="W29">
        <f t="shared" si="8"/>
        <v>59.318736450940868</v>
      </c>
      <c r="X29">
        <f t="shared" si="8"/>
        <v>147.45626501969215</v>
      </c>
      <c r="Y29">
        <f t="shared" si="8"/>
        <v>100.46001282877282</v>
      </c>
      <c r="Z29">
        <f t="shared" si="8"/>
        <v>68.442084683274913</v>
      </c>
      <c r="AA29">
        <f t="shared" si="8"/>
        <v>46.628691594701223</v>
      </c>
    </row>
    <row r="30" spans="1:27" x14ac:dyDescent="0.2">
      <c r="A30" s="2">
        <v>3000</v>
      </c>
      <c r="B30">
        <v>909.1110959972417</v>
      </c>
      <c r="C30">
        <f t="shared" si="4"/>
        <v>9.0763958556453179</v>
      </c>
      <c r="D30">
        <f t="shared" si="5"/>
        <v>19.411511735493338</v>
      </c>
      <c r="E30">
        <f t="shared" si="5"/>
        <v>28.492421395370986</v>
      </c>
      <c r="F30">
        <f t="shared" si="5"/>
        <v>41.821476247365638</v>
      </c>
      <c r="G30">
        <f t="shared" si="5"/>
        <v>61.386003359936474</v>
      </c>
      <c r="H30">
        <f t="shared" si="6"/>
        <v>22.442822468615596</v>
      </c>
      <c r="I30">
        <f t="shared" si="6"/>
        <v>32.941811219580629</v>
      </c>
      <c r="J30">
        <f t="shared" si="6"/>
        <v>48.352337498725824</v>
      </c>
      <c r="K30">
        <f t="shared" si="6"/>
        <v>70.972070297124716</v>
      </c>
      <c r="L30">
        <f t="shared" si="7"/>
        <v>28.550658954847162</v>
      </c>
      <c r="M30">
        <f t="shared" si="7"/>
        <v>41.906957950606675</v>
      </c>
      <c r="N30">
        <f t="shared" si="7"/>
        <v>61.51147430437014</v>
      </c>
      <c r="O30">
        <f t="shared" si="7"/>
        <v>90.287189911440734</v>
      </c>
      <c r="P30">
        <f t="shared" si="9"/>
        <v>166.70454495843001</v>
      </c>
      <c r="Q30">
        <f t="shared" si="9"/>
        <v>113.57361264305797</v>
      </c>
      <c r="R30">
        <f t="shared" si="9"/>
        <v>77.376207661356247</v>
      </c>
      <c r="S30">
        <f t="shared" si="8"/>
        <v>52.715392006325111</v>
      </c>
      <c r="T30">
        <f t="shared" si="8"/>
        <v>144.18806882894958</v>
      </c>
      <c r="U30">
        <f t="shared" si="8"/>
        <v>98.233433773585858</v>
      </c>
      <c r="V30">
        <f t="shared" si="8"/>
        <v>66.92514567482732</v>
      </c>
      <c r="W30">
        <f t="shared" si="8"/>
        <v>45.595221011211514</v>
      </c>
      <c r="X30">
        <f t="shared" si="8"/>
        <v>113.34194548498346</v>
      </c>
      <c r="Y30">
        <f t="shared" si="8"/>
        <v>77.218375875307245</v>
      </c>
      <c r="Z30">
        <f t="shared" si="8"/>
        <v>52.607863287561258</v>
      </c>
      <c r="AA30">
        <f t="shared" si="8"/>
        <v>35.841044936659323</v>
      </c>
    </row>
    <row r="31" spans="1:27" x14ac:dyDescent="0.2">
      <c r="A31" s="2">
        <v>2000</v>
      </c>
      <c r="B31">
        <v>1006.4758087054789</v>
      </c>
      <c r="C31">
        <f t="shared" si="4"/>
        <v>9.0778184576765355</v>
      </c>
      <c r="D31">
        <f t="shared" si="5"/>
        <v>18.450162683759096</v>
      </c>
      <c r="E31">
        <f t="shared" si="5"/>
        <v>27.08134313092193</v>
      </c>
      <c r="F31">
        <f t="shared" si="5"/>
        <v>39.750280707297655</v>
      </c>
      <c r="G31">
        <f t="shared" si="5"/>
        <v>58.345880729408634</v>
      </c>
      <c r="H31">
        <f t="shared" si="6"/>
        <v>21.331348700243723</v>
      </c>
      <c r="I31">
        <f t="shared" si="6"/>
        <v>31.310378314721021</v>
      </c>
      <c r="J31">
        <f t="shared" si="6"/>
        <v>45.957703096370615</v>
      </c>
      <c r="K31">
        <f t="shared" si="6"/>
        <v>67.457200697607504</v>
      </c>
      <c r="L31">
        <f t="shared" si="7"/>
        <v>27.136696493466896</v>
      </c>
      <c r="M31">
        <f t="shared" si="7"/>
        <v>39.831528955902535</v>
      </c>
      <c r="N31">
        <f t="shared" si="7"/>
        <v>58.465137764534511</v>
      </c>
      <c r="O31">
        <f t="shared" si="7"/>
        <v>85.81574504986375</v>
      </c>
      <c r="P31">
        <f>($A31-$A32)/AVERAGE(D31:D32)+P32</f>
        <v>113.88067938255861</v>
      </c>
      <c r="Q31">
        <f t="shared" si="9"/>
        <v>77.585408189969954</v>
      </c>
      <c r="R31">
        <f t="shared" si="9"/>
        <v>52.857917573384029</v>
      </c>
      <c r="S31">
        <f t="shared" si="8"/>
        <v>36.011403630867989</v>
      </c>
      <c r="T31">
        <f t="shared" si="8"/>
        <v>98.499025573624891</v>
      </c>
      <c r="U31">
        <f t="shared" si="8"/>
        <v>67.106089872997373</v>
      </c>
      <c r="V31">
        <f t="shared" si="8"/>
        <v>45.718495912193376</v>
      </c>
      <c r="W31">
        <f t="shared" si="8"/>
        <v>31.147409608115218</v>
      </c>
      <c r="X31">
        <f t="shared" si="8"/>
        <v>77.42714967722975</v>
      </c>
      <c r="Y31">
        <f t="shared" si="8"/>
        <v>52.75009813134119</v>
      </c>
      <c r="Z31">
        <f t="shared" si="8"/>
        <v>35.937947663911494</v>
      </c>
      <c r="AA31">
        <f t="shared" si="8"/>
        <v>24.4840507988872</v>
      </c>
    </row>
    <row r="32" spans="1:27" x14ac:dyDescent="0.2">
      <c r="A32" s="2">
        <v>1000</v>
      </c>
      <c r="B32">
        <v>1111.6241616500438</v>
      </c>
      <c r="C32">
        <f t="shared" si="4"/>
        <v>9.0792415057248341</v>
      </c>
      <c r="D32">
        <f t="shared" si="5"/>
        <v>17.557267213593207</v>
      </c>
      <c r="E32">
        <f t="shared" si="5"/>
        <v>25.770741754550674</v>
      </c>
      <c r="F32">
        <f t="shared" si="5"/>
        <v>37.826566201917629</v>
      </c>
      <c r="G32">
        <f t="shared" si="5"/>
        <v>55.522232315078561</v>
      </c>
      <c r="H32">
        <f t="shared" si="6"/>
        <v>20.29901825668928</v>
      </c>
      <c r="I32">
        <f t="shared" si="6"/>
        <v>29.795112815679975</v>
      </c>
      <c r="J32">
        <f t="shared" si="6"/>
        <v>43.733580435918412</v>
      </c>
      <c r="K32">
        <f t="shared" si="6"/>
        <v>64.192610028930915</v>
      </c>
      <c r="L32">
        <f t="shared" si="7"/>
        <v>25.823416291574041</v>
      </c>
      <c r="M32">
        <f t="shared" si="7"/>
        <v>37.903882442204662</v>
      </c>
      <c r="N32">
        <f t="shared" si="7"/>
        <v>55.635717906977924</v>
      </c>
      <c r="O32">
        <f t="shared" si="7"/>
        <v>81.662692779415011</v>
      </c>
      <c r="P32">
        <f t="shared" ref="P32:AA33" si="10">($A32-$A33)/AVERAGE(D32:D33)</f>
        <v>58.336587352067312</v>
      </c>
      <c r="Q32">
        <f t="shared" si="10"/>
        <v>39.743949251616172</v>
      </c>
      <c r="R32">
        <f t="shared" si="10"/>
        <v>27.077029593488291</v>
      </c>
      <c r="S32">
        <f t="shared" si="10"/>
        <v>18.447223927471846</v>
      </c>
      <c r="T32">
        <f t="shared" si="10"/>
        <v>50.457171845335203</v>
      </c>
      <c r="U32">
        <f t="shared" si="10"/>
        <v>34.375807160238573</v>
      </c>
      <c r="V32">
        <f t="shared" si="10"/>
        <v>23.419785031553605</v>
      </c>
      <c r="W32">
        <f t="shared" si="10"/>
        <v>15.955591336880643</v>
      </c>
      <c r="X32">
        <f t="shared" si="10"/>
        <v>39.662879647863072</v>
      </c>
      <c r="Y32">
        <f t="shared" si="10"/>
        <v>27.021797939329876</v>
      </c>
      <c r="Z32">
        <f t="shared" si="10"/>
        <v>18.409595328344039</v>
      </c>
      <c r="AA32">
        <f t="shared" si="10"/>
        <v>12.542215026340021</v>
      </c>
    </row>
    <row r="33" spans="1:27" x14ac:dyDescent="0.2">
      <c r="A33" s="2">
        <v>0</v>
      </c>
      <c r="B33">
        <v>1224.977055877323</v>
      </c>
      <c r="C33">
        <f t="shared" si="4"/>
        <v>9.0806649999999998</v>
      </c>
      <c r="D33">
        <f t="shared" si="5"/>
        <v>16.726534612691108</v>
      </c>
      <c r="E33">
        <f t="shared" si="5"/>
        <v>24.551383692473721</v>
      </c>
      <c r="F33">
        <f t="shared" si="5"/>
        <v>36.036779594364859</v>
      </c>
      <c r="G33">
        <f t="shared" si="5"/>
        <v>52.895164679900944</v>
      </c>
      <c r="H33">
        <f t="shared" si="6"/>
        <v>19.338558065077972</v>
      </c>
      <c r="I33">
        <f t="shared" si="6"/>
        <v>28.385339229482121</v>
      </c>
      <c r="J33">
        <f t="shared" si="6"/>
        <v>41.664299916330293</v>
      </c>
      <c r="K33">
        <f t="shared" si="6"/>
        <v>61.155298285635183</v>
      </c>
      <c r="L33">
        <f t="shared" si="7"/>
        <v>24.601565902268121</v>
      </c>
      <c r="M33">
        <f t="shared" si="7"/>
        <v>36.110437570492422</v>
      </c>
      <c r="N33">
        <f t="shared" si="7"/>
        <v>53.003280633132931</v>
      </c>
      <c r="O33">
        <f t="shared" si="7"/>
        <v>77.798773620242599</v>
      </c>
      <c r="P33">
        <f>($A33-$A34)/AVERAGE(D33:D34)</f>
        <v>0</v>
      </c>
      <c r="Q33">
        <f t="shared" si="10"/>
        <v>0</v>
      </c>
      <c r="R33">
        <f t="shared" si="10"/>
        <v>0</v>
      </c>
      <c r="S33">
        <f t="shared" si="10"/>
        <v>0</v>
      </c>
      <c r="T33">
        <f t="shared" si="10"/>
        <v>0</v>
      </c>
      <c r="U33">
        <f t="shared" si="10"/>
        <v>0</v>
      </c>
      <c r="V33">
        <f t="shared" si="10"/>
        <v>0</v>
      </c>
      <c r="W33">
        <f t="shared" si="10"/>
        <v>0</v>
      </c>
      <c r="X33">
        <f t="shared" si="10"/>
        <v>0</v>
      </c>
      <c r="Y33">
        <f t="shared" si="10"/>
        <v>0</v>
      </c>
      <c r="Z33">
        <f t="shared" si="10"/>
        <v>0</v>
      </c>
      <c r="AA33">
        <f>($A33-$A34)/AVERAGE(O33:O34)</f>
        <v>0</v>
      </c>
    </row>
  </sheetData>
  <mergeCells count="4">
    <mergeCell ref="D1:G1"/>
    <mergeCell ref="H1:K1"/>
    <mergeCell ref="L1:O1"/>
    <mergeCell ref="P2:A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2013 Meteors</vt:lpstr>
      <vt:lpstr>Sheet1</vt:lpstr>
      <vt:lpstr>Spherical</vt:lpstr>
      <vt:lpstr>Cubic</vt:lpstr>
    </vt:vector>
  </TitlesOfParts>
  <Company>L-3 Communications Geneva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Branch</dc:creator>
  <cp:lastModifiedBy>Pat Branch</cp:lastModifiedBy>
  <dcterms:created xsi:type="dcterms:W3CDTF">2012-02-13T13:10:46Z</dcterms:created>
  <dcterms:modified xsi:type="dcterms:W3CDTF">2024-01-10T02:36:38Z</dcterms:modified>
</cp:coreProperties>
</file>